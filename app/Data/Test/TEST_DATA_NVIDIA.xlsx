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0.13"/>
    <col customWidth="1" min="9" max="9" width="19.5"/>
    <col customWidth="1" min="11" max="11" width="14.13"/>
  </cols>
  <sheetData>
    <row r="1">
      <c r="A1" s="1" t="str">
        <f>IFERROR(__xludf.DUMMYFUNCTION("GOOGLEFINANCE(""NASDAQ:nvda"", ""all"", TODAY()-365, TODAY())
"),"Date")</f>
        <v>Date</v>
      </c>
      <c r="B1" s="2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3">
        <f>IFERROR(__xludf.DUMMYFUNCTION("""COMPUTED_VALUE"""),45694.66666666667)</f>
        <v>45694.66667</v>
      </c>
      <c r="B2" s="2">
        <f>IFERROR(__xludf.DUMMYFUNCTION("""COMPUTED_VALUE"""),127.42)</f>
        <v>127.42</v>
      </c>
      <c r="C2" s="1">
        <f>IFERROR(__xludf.DUMMYFUNCTION("""COMPUTED_VALUE"""),128.77)</f>
        <v>128.77</v>
      </c>
      <c r="D2" s="1">
        <f>IFERROR(__xludf.DUMMYFUNCTION("""COMPUTED_VALUE"""),125.21)</f>
        <v>125.21</v>
      </c>
      <c r="E2" s="1">
        <f>IFERROR(__xludf.DUMMYFUNCTION("""COMPUTED_VALUE"""),128.68)</f>
        <v>128.68</v>
      </c>
      <c r="F2" s="1">
        <f>IFERROR(__xludf.DUMMYFUNCTION("""COMPUTED_VALUE"""),2.51483574E8)</f>
        <v>251483574</v>
      </c>
      <c r="J2" s="4"/>
      <c r="K2" s="4"/>
    </row>
    <row r="3">
      <c r="A3" s="3">
        <f>IFERROR(__xludf.DUMMYFUNCTION("""COMPUTED_VALUE"""),45695.66666666667)</f>
        <v>45695.66667</v>
      </c>
      <c r="B3" s="2">
        <f>IFERROR(__xludf.DUMMYFUNCTION("""COMPUTED_VALUE"""),129.22)</f>
        <v>129.22</v>
      </c>
      <c r="C3" s="1">
        <f>IFERROR(__xludf.DUMMYFUNCTION("""COMPUTED_VALUE"""),130.37)</f>
        <v>130.37</v>
      </c>
      <c r="D3" s="1">
        <f>IFERROR(__xludf.DUMMYFUNCTION("""COMPUTED_VALUE"""),125.0)</f>
        <v>125</v>
      </c>
      <c r="E3" s="1">
        <f>IFERROR(__xludf.DUMMYFUNCTION("""COMPUTED_VALUE"""),129.84)</f>
        <v>129.84</v>
      </c>
      <c r="F3" s="1">
        <f>IFERROR(__xludf.DUMMYFUNCTION("""COMPUTED_VALUE"""),2.28186298E8)</f>
        <v>228186298</v>
      </c>
      <c r="H3" s="4"/>
      <c r="I3" s="4"/>
      <c r="J3" s="4"/>
      <c r="K3" s="4"/>
    </row>
    <row r="4">
      <c r="A4" s="3">
        <f>IFERROR(__xludf.DUMMYFUNCTION("""COMPUTED_VALUE"""),45698.66666666667)</f>
        <v>45698.66667</v>
      </c>
      <c r="B4" s="2">
        <f>IFERROR(__xludf.DUMMYFUNCTION("""COMPUTED_VALUE"""),130.09)</f>
        <v>130.09</v>
      </c>
      <c r="C4" s="1">
        <f>IFERROR(__xludf.DUMMYFUNCTION("""COMPUTED_VALUE"""),135.0)</f>
        <v>135</v>
      </c>
      <c r="D4" s="1">
        <f>IFERROR(__xludf.DUMMYFUNCTION("""COMPUTED_VALUE"""),129.96)</f>
        <v>129.96</v>
      </c>
      <c r="E4" s="1">
        <f>IFERROR(__xludf.DUMMYFUNCTION("""COMPUTED_VALUE"""),133.57)</f>
        <v>133.57</v>
      </c>
      <c r="F4" s="1">
        <f>IFERROR(__xludf.DUMMYFUNCTION("""COMPUTED_VALUE"""),2.16989086E8)</f>
        <v>216989086</v>
      </c>
    </row>
    <row r="5">
      <c r="A5" s="3">
        <f>IFERROR(__xludf.DUMMYFUNCTION("""COMPUTED_VALUE"""),45699.66666666667)</f>
        <v>45699.66667</v>
      </c>
      <c r="B5" s="2">
        <f>IFERROR(__xludf.DUMMYFUNCTION("""COMPUTED_VALUE"""),132.58)</f>
        <v>132.58</v>
      </c>
      <c r="C5" s="1">
        <f>IFERROR(__xludf.DUMMYFUNCTION("""COMPUTED_VALUE"""),134.48)</f>
        <v>134.48</v>
      </c>
      <c r="D5" s="1">
        <f>IFERROR(__xludf.DUMMYFUNCTION("""COMPUTED_VALUE"""),131.02)</f>
        <v>131.02</v>
      </c>
      <c r="E5" s="1">
        <f>IFERROR(__xludf.DUMMYFUNCTION("""COMPUTED_VALUE"""),132.8)</f>
        <v>132.8</v>
      </c>
      <c r="F5" s="1">
        <f>IFERROR(__xludf.DUMMYFUNCTION("""COMPUTED_VALUE"""),1.78902379E8)</f>
        <v>178902379</v>
      </c>
    </row>
    <row r="6">
      <c r="A6" s="3">
        <f>IFERROR(__xludf.DUMMYFUNCTION("""COMPUTED_VALUE"""),45700.66666666667)</f>
        <v>45700.66667</v>
      </c>
      <c r="B6" s="2">
        <f>IFERROR(__xludf.DUMMYFUNCTION("""COMPUTED_VALUE"""),130.02)</f>
        <v>130.02</v>
      </c>
      <c r="C6" s="1">
        <f>IFERROR(__xludf.DUMMYFUNCTION("""COMPUTED_VALUE"""),132.24)</f>
        <v>132.24</v>
      </c>
      <c r="D6" s="1">
        <f>IFERROR(__xludf.DUMMYFUNCTION("""COMPUTED_VALUE"""),129.08)</f>
        <v>129.08</v>
      </c>
      <c r="E6" s="1">
        <f>IFERROR(__xludf.DUMMYFUNCTION("""COMPUTED_VALUE"""),131.14)</f>
        <v>131.14</v>
      </c>
      <c r="F6" s="1">
        <f>IFERROR(__xludf.DUMMYFUNCTION("""COMPUTED_VALUE"""),1.60278552E8)</f>
        <v>160278552</v>
      </c>
    </row>
    <row r="7">
      <c r="A7" s="3">
        <f>IFERROR(__xludf.DUMMYFUNCTION("""COMPUTED_VALUE"""),45701.66666666667)</f>
        <v>45701.66667</v>
      </c>
      <c r="B7" s="2">
        <f>IFERROR(__xludf.DUMMYFUNCTION("""COMPUTED_VALUE"""),131.56)</f>
        <v>131.56</v>
      </c>
      <c r="C7" s="1">
        <f>IFERROR(__xludf.DUMMYFUNCTION("""COMPUTED_VALUE"""),136.5)</f>
        <v>136.5</v>
      </c>
      <c r="D7" s="1">
        <f>IFERROR(__xludf.DUMMYFUNCTION("""COMPUTED_VALUE"""),131.17)</f>
        <v>131.17</v>
      </c>
      <c r="E7" s="1">
        <f>IFERROR(__xludf.DUMMYFUNCTION("""COMPUTED_VALUE"""),135.29)</f>
        <v>135.29</v>
      </c>
      <c r="F7" s="1">
        <f>IFERROR(__xludf.DUMMYFUNCTION("""COMPUTED_VALUE"""),1.97429975E8)</f>
        <v>197429975</v>
      </c>
    </row>
    <row r="8">
      <c r="A8" s="3">
        <f>IFERROR(__xludf.DUMMYFUNCTION("""COMPUTED_VALUE"""),45702.66666666667)</f>
        <v>45702.66667</v>
      </c>
      <c r="B8" s="2">
        <f>IFERROR(__xludf.DUMMYFUNCTION("""COMPUTED_VALUE"""),136.48)</f>
        <v>136.48</v>
      </c>
      <c r="C8" s="1">
        <f>IFERROR(__xludf.DUMMYFUNCTION("""COMPUTED_VALUE"""),139.25)</f>
        <v>139.25</v>
      </c>
      <c r="D8" s="1">
        <f>IFERROR(__xludf.DUMMYFUNCTION("""COMPUTED_VALUE"""),135.5)</f>
        <v>135.5</v>
      </c>
      <c r="E8" s="1">
        <f>IFERROR(__xludf.DUMMYFUNCTION("""COMPUTED_VALUE"""),138.85)</f>
        <v>138.85</v>
      </c>
      <c r="F8" s="1">
        <f>IFERROR(__xludf.DUMMYFUNCTION("""COMPUTED_VALUE"""),1.95479557E8)</f>
        <v>195479557</v>
      </c>
      <c r="H8" s="4"/>
      <c r="I8" s="4"/>
      <c r="J8" s="4"/>
    </row>
    <row r="9">
      <c r="A9" s="3">
        <f>IFERROR(__xludf.DUMMYFUNCTION("""COMPUTED_VALUE"""),45706.66666666667)</f>
        <v>45706.66667</v>
      </c>
      <c r="B9" s="2">
        <f>IFERROR(__xludf.DUMMYFUNCTION("""COMPUTED_VALUE"""),141.27)</f>
        <v>141.27</v>
      </c>
      <c r="C9" s="1">
        <f>IFERROR(__xludf.DUMMYFUNCTION("""COMPUTED_VALUE"""),143.44)</f>
        <v>143.44</v>
      </c>
      <c r="D9" s="1">
        <f>IFERROR(__xludf.DUMMYFUNCTION("""COMPUTED_VALUE"""),137.93)</f>
        <v>137.93</v>
      </c>
      <c r="E9" s="1">
        <f>IFERROR(__xludf.DUMMYFUNCTION("""COMPUTED_VALUE"""),139.4)</f>
        <v>139.4</v>
      </c>
      <c r="F9" s="1">
        <f>IFERROR(__xludf.DUMMYFUNCTION("""COMPUTED_VALUE"""),2.19176627E8)</f>
        <v>219176627</v>
      </c>
      <c r="H9" s="4"/>
      <c r="I9" s="4"/>
      <c r="J9" s="4"/>
    </row>
    <row r="10">
      <c r="A10" s="3">
        <f>IFERROR(__xludf.DUMMYFUNCTION("""COMPUTED_VALUE"""),45707.66666666667)</f>
        <v>45707.66667</v>
      </c>
      <c r="B10" s="2">
        <f>IFERROR(__xludf.DUMMYFUNCTION("""COMPUTED_VALUE"""),139.51)</f>
        <v>139.51</v>
      </c>
      <c r="C10" s="1">
        <f>IFERROR(__xludf.DUMMYFUNCTION("""COMPUTED_VALUE"""),141.36)</f>
        <v>141.36</v>
      </c>
      <c r="D10" s="1">
        <f>IFERROR(__xludf.DUMMYFUNCTION("""COMPUTED_VALUE"""),137.22)</f>
        <v>137.22</v>
      </c>
      <c r="E10" s="1">
        <f>IFERROR(__xludf.DUMMYFUNCTION("""COMPUTED_VALUE"""),139.23)</f>
        <v>139.23</v>
      </c>
      <c r="F10" s="1">
        <f>IFERROR(__xludf.DUMMYFUNCTION("""COMPUTED_VALUE"""),1.67536006E8)</f>
        <v>167536006</v>
      </c>
      <c r="H10" s="4"/>
      <c r="I10" s="4"/>
      <c r="J10" s="4"/>
    </row>
    <row r="11">
      <c r="A11" s="3">
        <f>IFERROR(__xludf.DUMMYFUNCTION("""COMPUTED_VALUE"""),45708.66666666667)</f>
        <v>45708.66667</v>
      </c>
      <c r="B11" s="2">
        <f>IFERROR(__xludf.DUMMYFUNCTION("""COMPUTED_VALUE"""),140.03)</f>
        <v>140.03</v>
      </c>
      <c r="C11" s="1">
        <f>IFERROR(__xludf.DUMMYFUNCTION("""COMPUTED_VALUE"""),140.66)</f>
        <v>140.66</v>
      </c>
      <c r="D11" s="1">
        <f>IFERROR(__xludf.DUMMYFUNCTION("""COMPUTED_VALUE"""),136.79)</f>
        <v>136.79</v>
      </c>
      <c r="E11" s="1">
        <f>IFERROR(__xludf.DUMMYFUNCTION("""COMPUTED_VALUE"""),140.11)</f>
        <v>140.11</v>
      </c>
      <c r="F11" s="1">
        <f>IFERROR(__xludf.DUMMYFUNCTION("""COMPUTED_VALUE"""),1.43903583E8)</f>
        <v>143903583</v>
      </c>
    </row>
    <row r="12">
      <c r="A12" s="3">
        <f>IFERROR(__xludf.DUMMYFUNCTION("""COMPUTED_VALUE"""),45709.66666666667)</f>
        <v>45709.66667</v>
      </c>
      <c r="B12" s="2">
        <f>IFERROR(__xludf.DUMMYFUNCTION("""COMPUTED_VALUE"""),140.04)</f>
        <v>140.04</v>
      </c>
      <c r="C12" s="1">
        <f>IFERROR(__xludf.DUMMYFUNCTION("""COMPUTED_VALUE"""),141.46)</f>
        <v>141.46</v>
      </c>
      <c r="D12" s="1">
        <f>IFERROR(__xludf.DUMMYFUNCTION("""COMPUTED_VALUE"""),134.03)</f>
        <v>134.03</v>
      </c>
      <c r="E12" s="1">
        <f>IFERROR(__xludf.DUMMYFUNCTION("""COMPUTED_VALUE"""),134.43)</f>
        <v>134.43</v>
      </c>
      <c r="F12" s="1">
        <f>IFERROR(__xludf.DUMMYFUNCTION("""COMPUTED_VALUE"""),2.28217585E8)</f>
        <v>228217585</v>
      </c>
    </row>
    <row r="13">
      <c r="A13" s="3">
        <f>IFERROR(__xludf.DUMMYFUNCTION("""COMPUTED_VALUE"""),45712.66666666667)</f>
        <v>45712.66667</v>
      </c>
      <c r="B13" s="2">
        <f>IFERROR(__xludf.DUMMYFUNCTION("""COMPUTED_VALUE"""),136.56)</f>
        <v>136.56</v>
      </c>
      <c r="C13" s="1">
        <f>IFERROR(__xludf.DUMMYFUNCTION("""COMPUTED_VALUE"""),138.59)</f>
        <v>138.59</v>
      </c>
      <c r="D13" s="1">
        <f>IFERROR(__xludf.DUMMYFUNCTION("""COMPUTED_VALUE"""),130.08)</f>
        <v>130.08</v>
      </c>
      <c r="E13" s="1">
        <f>IFERROR(__xludf.DUMMYFUNCTION("""COMPUTED_VALUE"""),130.28)</f>
        <v>130.28</v>
      </c>
      <c r="F13" s="1">
        <f>IFERROR(__xludf.DUMMYFUNCTION("""COMPUTED_VALUE"""),2.51381137E8)</f>
        <v>251381137</v>
      </c>
    </row>
    <row r="14">
      <c r="A14" s="3">
        <f>IFERROR(__xludf.DUMMYFUNCTION("""COMPUTED_VALUE"""),45713.66666666667)</f>
        <v>45713.66667</v>
      </c>
      <c r="B14" s="2">
        <f>IFERROR(__xludf.DUMMYFUNCTION("""COMPUTED_VALUE"""),129.98)</f>
        <v>129.98</v>
      </c>
      <c r="C14" s="1">
        <f>IFERROR(__xludf.DUMMYFUNCTION("""COMPUTED_VALUE"""),130.2)</f>
        <v>130.2</v>
      </c>
      <c r="D14" s="1">
        <f>IFERROR(__xludf.DUMMYFUNCTION("""COMPUTED_VALUE"""),124.44)</f>
        <v>124.44</v>
      </c>
      <c r="E14" s="1">
        <f>IFERROR(__xludf.DUMMYFUNCTION("""COMPUTED_VALUE"""),126.63)</f>
        <v>126.63</v>
      </c>
      <c r="F14" s="1">
        <f>IFERROR(__xludf.DUMMYFUNCTION("""COMPUTED_VALUE"""),2.71428711E8)</f>
        <v>271428711</v>
      </c>
    </row>
    <row r="15">
      <c r="A15" s="3">
        <f>IFERROR(__xludf.DUMMYFUNCTION("""COMPUTED_VALUE"""),45714.66666666667)</f>
        <v>45714.66667</v>
      </c>
      <c r="B15" s="2">
        <f>IFERROR(__xludf.DUMMYFUNCTION("""COMPUTED_VALUE"""),129.99)</f>
        <v>129.99</v>
      </c>
      <c r="C15" s="1">
        <f>IFERROR(__xludf.DUMMYFUNCTION("""COMPUTED_VALUE"""),133.73)</f>
        <v>133.73</v>
      </c>
      <c r="D15" s="1">
        <f>IFERROR(__xludf.DUMMYFUNCTION("""COMPUTED_VALUE"""),128.49)</f>
        <v>128.49</v>
      </c>
      <c r="E15" s="1">
        <f>IFERROR(__xludf.DUMMYFUNCTION("""COMPUTED_VALUE"""),131.28)</f>
        <v>131.28</v>
      </c>
      <c r="F15" s="1">
        <f>IFERROR(__xludf.DUMMYFUNCTION("""COMPUTED_VALUE"""),3.22553814E8)</f>
        <v>322553814</v>
      </c>
    </row>
    <row r="16">
      <c r="A16" s="3">
        <f>IFERROR(__xludf.DUMMYFUNCTION("""COMPUTED_VALUE"""),45715.66666666667)</f>
        <v>45715.66667</v>
      </c>
      <c r="B16" s="2">
        <f>IFERROR(__xludf.DUMMYFUNCTION("""COMPUTED_VALUE"""),135.0)</f>
        <v>135</v>
      </c>
      <c r="C16" s="1">
        <f>IFERROR(__xludf.DUMMYFUNCTION("""COMPUTED_VALUE"""),135.01)</f>
        <v>135.01</v>
      </c>
      <c r="D16" s="1">
        <f>IFERROR(__xludf.DUMMYFUNCTION("""COMPUTED_VALUE"""),120.01)</f>
        <v>120.01</v>
      </c>
      <c r="E16" s="1">
        <f>IFERROR(__xludf.DUMMYFUNCTION("""COMPUTED_VALUE"""),120.15)</f>
        <v>120.15</v>
      </c>
      <c r="F16" s="1">
        <f>IFERROR(__xludf.DUMMYFUNCTION("""COMPUTED_VALUE"""),4.43175846E8)</f>
        <v>443175846</v>
      </c>
    </row>
    <row r="17">
      <c r="A17" s="3">
        <f>IFERROR(__xludf.DUMMYFUNCTION("""COMPUTED_VALUE"""),45716.66666666667)</f>
        <v>45716.66667</v>
      </c>
      <c r="B17" s="2">
        <f>IFERROR(__xludf.DUMMYFUNCTION("""COMPUTED_VALUE"""),118.02)</f>
        <v>118.02</v>
      </c>
      <c r="C17" s="1">
        <f>IFERROR(__xludf.DUMMYFUNCTION("""COMPUTED_VALUE"""),125.09)</f>
        <v>125.09</v>
      </c>
      <c r="D17" s="1">
        <f>IFERROR(__xludf.DUMMYFUNCTION("""COMPUTED_VALUE"""),116.4)</f>
        <v>116.4</v>
      </c>
      <c r="E17" s="1">
        <f>IFERROR(__xludf.DUMMYFUNCTION("""COMPUTED_VALUE"""),124.92)</f>
        <v>124.92</v>
      </c>
      <c r="F17" s="1">
        <f>IFERROR(__xludf.DUMMYFUNCTION("""COMPUTED_VALUE"""),3.89091145E8)</f>
        <v>389091145</v>
      </c>
    </row>
    <row r="18">
      <c r="A18" s="3">
        <f>IFERROR(__xludf.DUMMYFUNCTION("""COMPUTED_VALUE"""),45719.66666666667)</f>
        <v>45719.66667</v>
      </c>
      <c r="B18" s="2">
        <f>IFERROR(__xludf.DUMMYFUNCTION("""COMPUTED_VALUE"""),123.51)</f>
        <v>123.51</v>
      </c>
      <c r="C18" s="1">
        <f>IFERROR(__xludf.DUMMYFUNCTION("""COMPUTED_VALUE"""),123.7)</f>
        <v>123.7</v>
      </c>
      <c r="D18" s="1">
        <f>IFERROR(__xludf.DUMMYFUNCTION("""COMPUTED_VALUE"""),112.28)</f>
        <v>112.28</v>
      </c>
      <c r="E18" s="1">
        <f>IFERROR(__xludf.DUMMYFUNCTION("""COMPUTED_VALUE"""),114.06)</f>
        <v>114.06</v>
      </c>
      <c r="F18" s="1">
        <f>IFERROR(__xludf.DUMMYFUNCTION("""COMPUTED_VALUE"""),4.11381373E8)</f>
        <v>411381373</v>
      </c>
    </row>
    <row r="19">
      <c r="A19" s="3">
        <f>IFERROR(__xludf.DUMMYFUNCTION("""COMPUTED_VALUE"""),45720.66666666667)</f>
        <v>45720.66667</v>
      </c>
      <c r="B19" s="2">
        <f>IFERROR(__xludf.DUMMYFUNCTION("""COMPUTED_VALUE"""),110.65)</f>
        <v>110.65</v>
      </c>
      <c r="C19" s="1">
        <f>IFERROR(__xludf.DUMMYFUNCTION("""COMPUTED_VALUE"""),119.31)</f>
        <v>119.31</v>
      </c>
      <c r="D19" s="1">
        <f>IFERROR(__xludf.DUMMYFUNCTION("""COMPUTED_VALUE"""),110.11)</f>
        <v>110.11</v>
      </c>
      <c r="E19" s="1">
        <f>IFERROR(__xludf.DUMMYFUNCTION("""COMPUTED_VALUE"""),115.99)</f>
        <v>115.99</v>
      </c>
      <c r="F19" s="1">
        <f>IFERROR(__xludf.DUMMYFUNCTION("""COMPUTED_VALUE"""),3.98163305E8)</f>
        <v>398163305</v>
      </c>
    </row>
    <row r="20">
      <c r="A20" s="3">
        <f>IFERROR(__xludf.DUMMYFUNCTION("""COMPUTED_VALUE"""),45721.66666666667)</f>
        <v>45721.66667</v>
      </c>
      <c r="B20" s="2">
        <f>IFERROR(__xludf.DUMMYFUNCTION("""COMPUTED_VALUE"""),117.58)</f>
        <v>117.58</v>
      </c>
      <c r="C20" s="1">
        <f>IFERROR(__xludf.DUMMYFUNCTION("""COMPUTED_VALUE"""),118.28)</f>
        <v>118.28</v>
      </c>
      <c r="D20" s="1">
        <f>IFERROR(__xludf.DUMMYFUNCTION("""COMPUTED_VALUE"""),114.51)</f>
        <v>114.51</v>
      </c>
      <c r="E20" s="1">
        <f>IFERROR(__xludf.DUMMYFUNCTION("""COMPUTED_VALUE"""),117.3)</f>
        <v>117.3</v>
      </c>
      <c r="F20" s="1">
        <f>IFERROR(__xludf.DUMMYFUNCTION("""COMPUTED_VALUE"""),2.84337886E8)</f>
        <v>284337886</v>
      </c>
    </row>
    <row r="21">
      <c r="A21" s="3">
        <f>IFERROR(__xludf.DUMMYFUNCTION("""COMPUTED_VALUE"""),45722.66666666667)</f>
        <v>45722.66667</v>
      </c>
      <c r="B21" s="2">
        <f>IFERROR(__xludf.DUMMYFUNCTION("""COMPUTED_VALUE"""),113.53)</f>
        <v>113.53</v>
      </c>
      <c r="C21" s="1">
        <f>IFERROR(__xludf.DUMMYFUNCTION("""COMPUTED_VALUE"""),115.35)</f>
        <v>115.35</v>
      </c>
      <c r="D21" s="1">
        <f>IFERROR(__xludf.DUMMYFUNCTION("""COMPUTED_VALUE"""),110.22)</f>
        <v>110.22</v>
      </c>
      <c r="E21" s="1">
        <f>IFERROR(__xludf.DUMMYFUNCTION("""COMPUTED_VALUE"""),110.57)</f>
        <v>110.57</v>
      </c>
      <c r="F21" s="1">
        <f>IFERROR(__xludf.DUMMYFUNCTION("""COMPUTED_VALUE"""),3.21181861E8)</f>
        <v>321181861</v>
      </c>
    </row>
    <row r="22">
      <c r="A22" s="3">
        <f>IFERROR(__xludf.DUMMYFUNCTION("""COMPUTED_VALUE"""),45723.66666666667)</f>
        <v>45723.66667</v>
      </c>
      <c r="B22" s="2">
        <f>IFERROR(__xludf.DUMMYFUNCTION("""COMPUTED_VALUE"""),111.25)</f>
        <v>111.25</v>
      </c>
      <c r="C22" s="1">
        <f>IFERROR(__xludf.DUMMYFUNCTION("""COMPUTED_VALUE"""),113.48)</f>
        <v>113.48</v>
      </c>
      <c r="D22" s="1">
        <f>IFERROR(__xludf.DUMMYFUNCTION("""COMPUTED_VALUE"""),107.56)</f>
        <v>107.56</v>
      </c>
      <c r="E22" s="1">
        <f>IFERROR(__xludf.DUMMYFUNCTION("""COMPUTED_VALUE"""),112.69)</f>
        <v>112.69</v>
      </c>
      <c r="F22" s="1">
        <f>IFERROR(__xludf.DUMMYFUNCTION("""COMPUTED_VALUE"""),3.41755468E8)</f>
        <v>341755468</v>
      </c>
    </row>
    <row r="23">
      <c r="A23" s="3">
        <f>IFERROR(__xludf.DUMMYFUNCTION("""COMPUTED_VALUE"""),45726.66666666667)</f>
        <v>45726.66667</v>
      </c>
      <c r="B23" s="2">
        <f>IFERROR(__xludf.DUMMYFUNCTION("""COMPUTED_VALUE"""),109.9)</f>
        <v>109.9</v>
      </c>
      <c r="C23" s="1">
        <f>IFERROR(__xludf.DUMMYFUNCTION("""COMPUTED_VALUE"""),111.85)</f>
        <v>111.85</v>
      </c>
      <c r="D23" s="1">
        <f>IFERROR(__xludf.DUMMYFUNCTION("""COMPUTED_VALUE"""),105.46)</f>
        <v>105.46</v>
      </c>
      <c r="E23" s="1">
        <f>IFERROR(__xludf.DUMMYFUNCTION("""COMPUTED_VALUE"""),106.98)</f>
        <v>106.98</v>
      </c>
      <c r="F23" s="1">
        <f>IFERROR(__xludf.DUMMYFUNCTION("""COMPUTED_VALUE"""),3.66487363E8)</f>
        <v>366487363</v>
      </c>
    </row>
    <row r="24">
      <c r="A24" s="3">
        <f>IFERROR(__xludf.DUMMYFUNCTION("""COMPUTED_VALUE"""),45727.66666666667)</f>
        <v>45727.66667</v>
      </c>
      <c r="B24" s="2">
        <f>IFERROR(__xludf.DUMMYFUNCTION("""COMPUTED_VALUE"""),106.99)</f>
        <v>106.99</v>
      </c>
      <c r="C24" s="1">
        <f>IFERROR(__xludf.DUMMYFUNCTION("""COMPUTED_VALUE"""),112.24)</f>
        <v>112.24</v>
      </c>
      <c r="D24" s="1">
        <f>IFERROR(__xludf.DUMMYFUNCTION("""COMPUTED_VALUE"""),104.77)</f>
        <v>104.77</v>
      </c>
      <c r="E24" s="1">
        <f>IFERROR(__xludf.DUMMYFUNCTION("""COMPUTED_VALUE"""),108.76)</f>
        <v>108.76</v>
      </c>
      <c r="F24" s="1">
        <f>IFERROR(__xludf.DUMMYFUNCTION("""COMPUTED_VALUE"""),3.54865692E8)</f>
        <v>354865692</v>
      </c>
    </row>
    <row r="25">
      <c r="A25" s="3">
        <f>IFERROR(__xludf.DUMMYFUNCTION("""COMPUTED_VALUE"""),45728.66666666667)</f>
        <v>45728.66667</v>
      </c>
      <c r="B25" s="2">
        <f>IFERROR(__xludf.DUMMYFUNCTION("""COMPUTED_VALUE"""),114.12)</f>
        <v>114.12</v>
      </c>
      <c r="C25" s="1">
        <f>IFERROR(__xludf.DUMMYFUNCTION("""COMPUTED_VALUE"""),116.76)</f>
        <v>116.76</v>
      </c>
      <c r="D25" s="1">
        <f>IFERROR(__xludf.DUMMYFUNCTION("""COMPUTED_VALUE"""),112.88)</f>
        <v>112.88</v>
      </c>
      <c r="E25" s="1">
        <f>IFERROR(__xludf.DUMMYFUNCTION("""COMPUTED_VALUE"""),115.74)</f>
        <v>115.74</v>
      </c>
      <c r="F25" s="1">
        <f>IFERROR(__xludf.DUMMYFUNCTION("""COMPUTED_VALUE"""),3.23857454E8)</f>
        <v>323857454</v>
      </c>
    </row>
    <row r="26">
      <c r="A26" s="3">
        <f>IFERROR(__xludf.DUMMYFUNCTION("""COMPUTED_VALUE"""),45729.66666666667)</f>
        <v>45729.66667</v>
      </c>
      <c r="B26" s="2">
        <f>IFERROR(__xludf.DUMMYFUNCTION("""COMPUTED_VALUE"""),117.03)</f>
        <v>117.03</v>
      </c>
      <c r="C26" s="1">
        <f>IFERROR(__xludf.DUMMYFUNCTION("""COMPUTED_VALUE"""),117.76)</f>
        <v>117.76</v>
      </c>
      <c r="D26" s="1">
        <f>IFERROR(__xludf.DUMMYFUNCTION("""COMPUTED_VALUE"""),113.79)</f>
        <v>113.79</v>
      </c>
      <c r="E26" s="1">
        <f>IFERROR(__xludf.DUMMYFUNCTION("""COMPUTED_VALUE"""),115.58)</f>
        <v>115.58</v>
      </c>
      <c r="F26" s="1">
        <f>IFERROR(__xludf.DUMMYFUNCTION("""COMPUTED_VALUE"""),2.99033131E8)</f>
        <v>299033131</v>
      </c>
    </row>
    <row r="27">
      <c r="A27" s="3">
        <f>IFERROR(__xludf.DUMMYFUNCTION("""COMPUTED_VALUE"""),45730.66666666667)</f>
        <v>45730.66667</v>
      </c>
      <c r="B27" s="2">
        <f>IFERROR(__xludf.DUMMYFUNCTION("""COMPUTED_VALUE"""),118.61)</f>
        <v>118.61</v>
      </c>
      <c r="C27" s="1">
        <f>IFERROR(__xludf.DUMMYFUNCTION("""COMPUTED_VALUE"""),121.88)</f>
        <v>121.88</v>
      </c>
      <c r="D27" s="1">
        <f>IFERROR(__xludf.DUMMYFUNCTION("""COMPUTED_VALUE"""),118.15)</f>
        <v>118.15</v>
      </c>
      <c r="E27" s="1">
        <f>IFERROR(__xludf.DUMMYFUNCTION("""COMPUTED_VALUE"""),121.67)</f>
        <v>121.67</v>
      </c>
      <c r="F27" s="1">
        <f>IFERROR(__xludf.DUMMYFUNCTION("""COMPUTED_VALUE"""),2.77593455E8)</f>
        <v>277593455</v>
      </c>
    </row>
    <row r="28">
      <c r="A28" s="3">
        <f>IFERROR(__xludf.DUMMYFUNCTION("""COMPUTED_VALUE"""),45733.66666666667)</f>
        <v>45733.66667</v>
      </c>
      <c r="B28" s="2">
        <f>IFERROR(__xludf.DUMMYFUNCTION("""COMPUTED_VALUE"""),122.74)</f>
        <v>122.74</v>
      </c>
      <c r="C28" s="1">
        <f>IFERROR(__xludf.DUMMYFUNCTION("""COMPUTED_VALUE"""),122.89)</f>
        <v>122.89</v>
      </c>
      <c r="D28" s="1">
        <f>IFERROR(__xludf.DUMMYFUNCTION("""COMPUTED_VALUE"""),118.03)</f>
        <v>118.03</v>
      </c>
      <c r="E28" s="1">
        <f>IFERROR(__xludf.DUMMYFUNCTION("""COMPUTED_VALUE"""),119.53)</f>
        <v>119.53</v>
      </c>
      <c r="F28" s="1">
        <f>IFERROR(__xludf.DUMMYFUNCTION("""COMPUTED_VALUE"""),2.55501481E8)</f>
        <v>255501481</v>
      </c>
    </row>
    <row r="29">
      <c r="A29" s="3">
        <f>IFERROR(__xludf.DUMMYFUNCTION("""COMPUTED_VALUE"""),45734.66666666667)</f>
        <v>45734.66667</v>
      </c>
      <c r="B29" s="2">
        <f>IFERROR(__xludf.DUMMYFUNCTION("""COMPUTED_VALUE"""),118.0)</f>
        <v>118</v>
      </c>
      <c r="C29" s="1">
        <f>IFERROR(__xludf.DUMMYFUNCTION("""COMPUTED_VALUE"""),119.02)</f>
        <v>119.02</v>
      </c>
      <c r="D29" s="1">
        <f>IFERROR(__xludf.DUMMYFUNCTION("""COMPUTED_VALUE"""),114.54)</f>
        <v>114.54</v>
      </c>
      <c r="E29" s="1">
        <f>IFERROR(__xludf.DUMMYFUNCTION("""COMPUTED_VALUE"""),115.43)</f>
        <v>115.43</v>
      </c>
      <c r="F29" s="1">
        <f>IFERROR(__xludf.DUMMYFUNCTION("""COMPUTED_VALUE"""),2.99686944E8)</f>
        <v>299686944</v>
      </c>
    </row>
    <row r="30">
      <c r="A30" s="3">
        <f>IFERROR(__xludf.DUMMYFUNCTION("""COMPUTED_VALUE"""),45735.66666666667)</f>
        <v>45735.66667</v>
      </c>
      <c r="B30" s="2">
        <f>IFERROR(__xludf.DUMMYFUNCTION("""COMPUTED_VALUE"""),117.27)</f>
        <v>117.27</v>
      </c>
      <c r="C30" s="1">
        <f>IFERROR(__xludf.DUMMYFUNCTION("""COMPUTED_VALUE"""),120.45)</f>
        <v>120.45</v>
      </c>
      <c r="D30" s="1">
        <f>IFERROR(__xludf.DUMMYFUNCTION("""COMPUTED_VALUE"""),115.68)</f>
        <v>115.68</v>
      </c>
      <c r="E30" s="1">
        <f>IFERROR(__xludf.DUMMYFUNCTION("""COMPUTED_VALUE"""),117.52)</f>
        <v>117.52</v>
      </c>
      <c r="F30" s="1">
        <f>IFERROR(__xludf.DUMMYFUNCTION("""COMPUTED_VALUE"""),2.73426225E8)</f>
        <v>273426225</v>
      </c>
    </row>
    <row r="31">
      <c r="A31" s="3">
        <f>IFERROR(__xludf.DUMMYFUNCTION("""COMPUTED_VALUE"""),45736.66666666667)</f>
        <v>45736.66667</v>
      </c>
      <c r="B31" s="2">
        <f>IFERROR(__xludf.DUMMYFUNCTION("""COMPUTED_VALUE"""),116.55)</f>
        <v>116.55</v>
      </c>
      <c r="C31" s="1">
        <f>IFERROR(__xludf.DUMMYFUNCTION("""COMPUTED_VALUE"""),120.2)</f>
        <v>120.2</v>
      </c>
      <c r="D31" s="1">
        <f>IFERROR(__xludf.DUMMYFUNCTION("""COMPUTED_VALUE"""),116.47)</f>
        <v>116.47</v>
      </c>
      <c r="E31" s="1">
        <f>IFERROR(__xludf.DUMMYFUNCTION("""COMPUTED_VALUE"""),118.53)</f>
        <v>118.53</v>
      </c>
      <c r="F31" s="1">
        <f>IFERROR(__xludf.DUMMYFUNCTION("""COMPUTED_VALUE"""),2.48829749E8)</f>
        <v>248829749</v>
      </c>
    </row>
    <row r="32">
      <c r="A32" s="3">
        <f>IFERROR(__xludf.DUMMYFUNCTION("""COMPUTED_VALUE"""),45737.66666666667)</f>
        <v>45737.66667</v>
      </c>
      <c r="B32" s="2">
        <f>IFERROR(__xludf.DUMMYFUNCTION("""COMPUTED_VALUE"""),116.94)</f>
        <v>116.94</v>
      </c>
      <c r="C32" s="1">
        <f>IFERROR(__xludf.DUMMYFUNCTION("""COMPUTED_VALUE"""),117.99)</f>
        <v>117.99</v>
      </c>
      <c r="D32" s="1">
        <f>IFERROR(__xludf.DUMMYFUNCTION("""COMPUTED_VALUE"""),115.42)</f>
        <v>115.42</v>
      </c>
      <c r="E32" s="1">
        <f>IFERROR(__xludf.DUMMYFUNCTION("""COMPUTED_VALUE"""),117.7)</f>
        <v>117.7</v>
      </c>
      <c r="F32" s="1">
        <f>IFERROR(__xludf.DUMMYFUNCTION("""COMPUTED_VALUE"""),2.66498528E8)</f>
        <v>266498528</v>
      </c>
    </row>
    <row r="33">
      <c r="A33" s="3">
        <f>IFERROR(__xludf.DUMMYFUNCTION("""COMPUTED_VALUE"""),45740.66666666667)</f>
        <v>45740.66667</v>
      </c>
      <c r="B33" s="2">
        <f>IFERROR(__xludf.DUMMYFUNCTION("""COMPUTED_VALUE"""),119.88)</f>
        <v>119.88</v>
      </c>
      <c r="C33" s="1">
        <f>IFERROR(__xludf.DUMMYFUNCTION("""COMPUTED_VALUE"""),122.22)</f>
        <v>122.22</v>
      </c>
      <c r="D33" s="1">
        <f>IFERROR(__xludf.DUMMYFUNCTION("""COMPUTED_VALUE"""),119.34)</f>
        <v>119.34</v>
      </c>
      <c r="E33" s="1">
        <f>IFERROR(__xludf.DUMMYFUNCTION("""COMPUTED_VALUE"""),121.41)</f>
        <v>121.41</v>
      </c>
      <c r="F33" s="1">
        <f>IFERROR(__xludf.DUMMYFUNCTION("""COMPUTED_VALUE"""),2.28452534E8)</f>
        <v>228452534</v>
      </c>
    </row>
    <row r="34">
      <c r="A34" s="3">
        <f>IFERROR(__xludf.DUMMYFUNCTION("""COMPUTED_VALUE"""),45741.66666666667)</f>
        <v>45741.66667</v>
      </c>
      <c r="B34" s="2">
        <f>IFERROR(__xludf.DUMMYFUNCTION("""COMPUTED_VALUE"""),120.55)</f>
        <v>120.55</v>
      </c>
      <c r="C34" s="1">
        <f>IFERROR(__xludf.DUMMYFUNCTION("""COMPUTED_VALUE"""),121.29)</f>
        <v>121.29</v>
      </c>
      <c r="D34" s="1">
        <f>IFERROR(__xludf.DUMMYFUNCTION("""COMPUTED_VALUE"""),118.92)</f>
        <v>118.92</v>
      </c>
      <c r="E34" s="1">
        <f>IFERROR(__xludf.DUMMYFUNCTION("""COMPUTED_VALUE"""),120.69)</f>
        <v>120.69</v>
      </c>
      <c r="F34" s="1">
        <f>IFERROR(__xludf.DUMMYFUNCTION("""COMPUTED_VALUE"""),1.67447198E8)</f>
        <v>167447198</v>
      </c>
    </row>
    <row r="35">
      <c r="A35" s="3">
        <f>IFERROR(__xludf.DUMMYFUNCTION("""COMPUTED_VALUE"""),45742.66666666667)</f>
        <v>45742.66667</v>
      </c>
      <c r="B35" s="2">
        <f>IFERROR(__xludf.DUMMYFUNCTION("""COMPUTED_VALUE"""),118.73)</f>
        <v>118.73</v>
      </c>
      <c r="C35" s="1">
        <f>IFERROR(__xludf.DUMMYFUNCTION("""COMPUTED_VALUE"""),118.84)</f>
        <v>118.84</v>
      </c>
      <c r="D35" s="1">
        <f>IFERROR(__xludf.DUMMYFUNCTION("""COMPUTED_VALUE"""),112.71)</f>
        <v>112.71</v>
      </c>
      <c r="E35" s="1">
        <f>IFERROR(__xludf.DUMMYFUNCTION("""COMPUTED_VALUE"""),113.76)</f>
        <v>113.76</v>
      </c>
      <c r="F35" s="1">
        <f>IFERROR(__xludf.DUMMYFUNCTION("""COMPUTED_VALUE"""),2.96431667E8)</f>
        <v>296431667</v>
      </c>
    </row>
    <row r="36">
      <c r="A36" s="3">
        <f>IFERROR(__xludf.DUMMYFUNCTION("""COMPUTED_VALUE"""),45743.66666666667)</f>
        <v>45743.66667</v>
      </c>
      <c r="B36" s="2">
        <f>IFERROR(__xludf.DUMMYFUNCTION("""COMPUTED_VALUE"""),111.35)</f>
        <v>111.35</v>
      </c>
      <c r="C36" s="1">
        <f>IFERROR(__xludf.DUMMYFUNCTION("""COMPUTED_VALUE"""),114.45)</f>
        <v>114.45</v>
      </c>
      <c r="D36" s="1">
        <f>IFERROR(__xludf.DUMMYFUNCTION("""COMPUTED_VALUE"""),110.66)</f>
        <v>110.66</v>
      </c>
      <c r="E36" s="1">
        <f>IFERROR(__xludf.DUMMYFUNCTION("""COMPUTED_VALUE"""),111.43)</f>
        <v>111.43</v>
      </c>
      <c r="F36" s="1">
        <f>IFERROR(__xludf.DUMMYFUNCTION("""COMPUTED_VALUE"""),2.36902055E8)</f>
        <v>236902055</v>
      </c>
    </row>
    <row r="37">
      <c r="A37" s="3">
        <f>IFERROR(__xludf.DUMMYFUNCTION("""COMPUTED_VALUE"""),45744.66666666667)</f>
        <v>45744.66667</v>
      </c>
      <c r="B37" s="2">
        <f>IFERROR(__xludf.DUMMYFUNCTION("""COMPUTED_VALUE"""),111.49)</f>
        <v>111.49</v>
      </c>
      <c r="C37" s="1">
        <f>IFERROR(__xludf.DUMMYFUNCTION("""COMPUTED_VALUE"""),112.87)</f>
        <v>112.87</v>
      </c>
      <c r="D37" s="1">
        <f>IFERROR(__xludf.DUMMYFUNCTION("""COMPUTED_VALUE"""),109.07)</f>
        <v>109.07</v>
      </c>
      <c r="E37" s="1">
        <f>IFERROR(__xludf.DUMMYFUNCTION("""COMPUTED_VALUE"""),109.67)</f>
        <v>109.67</v>
      </c>
      <c r="F37" s="1">
        <f>IFERROR(__xludf.DUMMYFUNCTION("""COMPUTED_VALUE"""),2.29872549E8)</f>
        <v>229872549</v>
      </c>
    </row>
    <row r="38">
      <c r="A38" s="3">
        <f>IFERROR(__xludf.DUMMYFUNCTION("""COMPUTED_VALUE"""),45747.66666666667)</f>
        <v>45747.66667</v>
      </c>
      <c r="B38" s="2">
        <f>IFERROR(__xludf.DUMMYFUNCTION("""COMPUTED_VALUE"""),105.13)</f>
        <v>105.13</v>
      </c>
      <c r="C38" s="1">
        <f>IFERROR(__xludf.DUMMYFUNCTION("""COMPUTED_VALUE"""),110.96)</f>
        <v>110.96</v>
      </c>
      <c r="D38" s="1">
        <f>IFERROR(__xludf.DUMMYFUNCTION("""COMPUTED_VALUE"""),103.65)</f>
        <v>103.65</v>
      </c>
      <c r="E38" s="1">
        <f>IFERROR(__xludf.DUMMYFUNCTION("""COMPUTED_VALUE"""),108.38)</f>
        <v>108.38</v>
      </c>
      <c r="F38" s="1">
        <f>IFERROR(__xludf.DUMMYFUNCTION("""COMPUTED_VALUE"""),2.99212653E8)</f>
        <v>299212653</v>
      </c>
    </row>
    <row r="39">
      <c r="A39" s="3">
        <f>IFERROR(__xludf.DUMMYFUNCTION("""COMPUTED_VALUE"""),45748.66666666667)</f>
        <v>45748.66667</v>
      </c>
      <c r="B39" s="2">
        <f>IFERROR(__xludf.DUMMYFUNCTION("""COMPUTED_VALUE"""),108.52)</f>
        <v>108.52</v>
      </c>
      <c r="C39" s="1">
        <f>IFERROR(__xludf.DUMMYFUNCTION("""COMPUTED_VALUE"""),110.2)</f>
        <v>110.2</v>
      </c>
      <c r="D39" s="1">
        <f>IFERROR(__xludf.DUMMYFUNCTION("""COMPUTED_VALUE"""),106.47)</f>
        <v>106.47</v>
      </c>
      <c r="E39" s="1">
        <f>IFERROR(__xludf.DUMMYFUNCTION("""COMPUTED_VALUE"""),110.15)</f>
        <v>110.15</v>
      </c>
      <c r="F39" s="1">
        <f>IFERROR(__xludf.DUMMYFUNCTION("""COMPUTED_VALUE"""),2.22614034E8)</f>
        <v>222614034</v>
      </c>
    </row>
    <row r="40">
      <c r="A40" s="3">
        <f>IFERROR(__xludf.DUMMYFUNCTION("""COMPUTED_VALUE"""),45749.66666666667)</f>
        <v>45749.66667</v>
      </c>
      <c r="B40" s="2">
        <f>IFERROR(__xludf.DUMMYFUNCTION("""COMPUTED_VALUE"""),107.29)</f>
        <v>107.29</v>
      </c>
      <c r="C40" s="1">
        <f>IFERROR(__xludf.DUMMYFUNCTION("""COMPUTED_VALUE"""),111.98)</f>
        <v>111.98</v>
      </c>
      <c r="D40" s="1">
        <f>IFERROR(__xludf.DUMMYFUNCTION("""COMPUTED_VALUE"""),106.79)</f>
        <v>106.79</v>
      </c>
      <c r="E40" s="1">
        <f>IFERROR(__xludf.DUMMYFUNCTION("""COMPUTED_VALUE"""),110.42)</f>
        <v>110.42</v>
      </c>
      <c r="F40" s="1">
        <f>IFERROR(__xludf.DUMMYFUNCTION("""COMPUTED_VALUE"""),2.20601243E8)</f>
        <v>220601243</v>
      </c>
    </row>
    <row r="41">
      <c r="A41" s="3">
        <f>IFERROR(__xludf.DUMMYFUNCTION("""COMPUTED_VALUE"""),45750.66666666667)</f>
        <v>45750.66667</v>
      </c>
      <c r="B41" s="2">
        <f>IFERROR(__xludf.DUMMYFUNCTION("""COMPUTED_VALUE"""),103.51)</f>
        <v>103.51</v>
      </c>
      <c r="C41" s="1">
        <f>IFERROR(__xludf.DUMMYFUNCTION("""COMPUTED_VALUE"""),105.63)</f>
        <v>105.63</v>
      </c>
      <c r="D41" s="1">
        <f>IFERROR(__xludf.DUMMYFUNCTION("""COMPUTED_VALUE"""),101.6)</f>
        <v>101.6</v>
      </c>
      <c r="E41" s="1">
        <f>IFERROR(__xludf.DUMMYFUNCTION("""COMPUTED_VALUE"""),101.8)</f>
        <v>101.8</v>
      </c>
      <c r="F41" s="1">
        <f>IFERROR(__xludf.DUMMYFUNCTION("""COMPUTED_VALUE"""),3.38769412E8)</f>
        <v>338769412</v>
      </c>
    </row>
    <row r="42">
      <c r="A42" s="3">
        <f>IFERROR(__xludf.DUMMYFUNCTION("""COMPUTED_VALUE"""),45751.66666666667)</f>
        <v>45751.66667</v>
      </c>
      <c r="B42" s="2">
        <f>IFERROR(__xludf.DUMMYFUNCTION("""COMPUTED_VALUE"""),98.91)</f>
        <v>98.91</v>
      </c>
      <c r="C42" s="1">
        <f>IFERROR(__xludf.DUMMYFUNCTION("""COMPUTED_VALUE"""),100.13)</f>
        <v>100.13</v>
      </c>
      <c r="D42" s="1">
        <f>IFERROR(__xludf.DUMMYFUNCTION("""COMPUTED_VALUE"""),92.11)</f>
        <v>92.11</v>
      </c>
      <c r="E42" s="1">
        <f>IFERROR(__xludf.DUMMYFUNCTION("""COMPUTED_VALUE"""),94.31)</f>
        <v>94.31</v>
      </c>
      <c r="F42" s="1">
        <f>IFERROR(__xludf.DUMMYFUNCTION("""COMPUTED_VALUE"""),5.3227381E8)</f>
        <v>532273810</v>
      </c>
    </row>
    <row r="43">
      <c r="A43" s="3">
        <f>IFERROR(__xludf.DUMMYFUNCTION("""COMPUTED_VALUE"""),45754.66666666667)</f>
        <v>45754.66667</v>
      </c>
      <c r="B43" s="2">
        <f>IFERROR(__xludf.DUMMYFUNCTION("""COMPUTED_VALUE"""),87.46)</f>
        <v>87.46</v>
      </c>
      <c r="C43" s="1">
        <f>IFERROR(__xludf.DUMMYFUNCTION("""COMPUTED_VALUE"""),101.75)</f>
        <v>101.75</v>
      </c>
      <c r="D43" s="1">
        <f>IFERROR(__xludf.DUMMYFUNCTION("""COMPUTED_VALUE"""),86.62)</f>
        <v>86.62</v>
      </c>
      <c r="E43" s="1">
        <f>IFERROR(__xludf.DUMMYFUNCTION("""COMPUTED_VALUE"""),97.64)</f>
        <v>97.64</v>
      </c>
      <c r="F43" s="1">
        <f>IFERROR(__xludf.DUMMYFUNCTION("""COMPUTED_VALUE"""),6.11041347E8)</f>
        <v>611041347</v>
      </c>
    </row>
    <row r="44">
      <c r="A44" s="3">
        <f>IFERROR(__xludf.DUMMYFUNCTION("""COMPUTED_VALUE"""),45755.66666666667)</f>
        <v>45755.66667</v>
      </c>
      <c r="B44" s="2">
        <f>IFERROR(__xludf.DUMMYFUNCTION("""COMPUTED_VALUE"""),103.81)</f>
        <v>103.81</v>
      </c>
      <c r="C44" s="1">
        <f>IFERROR(__xludf.DUMMYFUNCTION("""COMPUTED_VALUE"""),105.85)</f>
        <v>105.85</v>
      </c>
      <c r="D44" s="1">
        <f>IFERROR(__xludf.DUMMYFUNCTION("""COMPUTED_VALUE"""),94.46)</f>
        <v>94.46</v>
      </c>
      <c r="E44" s="1">
        <f>IFERROR(__xludf.DUMMYFUNCTION("""COMPUTED_VALUE"""),96.3)</f>
        <v>96.3</v>
      </c>
      <c r="F44" s="1">
        <f>IFERROR(__xludf.DUMMYFUNCTION("""COMPUTED_VALUE"""),4.76243392E8)</f>
        <v>476243392</v>
      </c>
    </row>
    <row r="45">
      <c r="A45" s="3">
        <f>IFERROR(__xludf.DUMMYFUNCTION("""COMPUTED_VALUE"""),45756.66666666667)</f>
        <v>45756.66667</v>
      </c>
      <c r="B45" s="2">
        <f>IFERROR(__xludf.DUMMYFUNCTION("""COMPUTED_VALUE"""),98.89)</f>
        <v>98.89</v>
      </c>
      <c r="C45" s="1">
        <f>IFERROR(__xludf.DUMMYFUNCTION("""COMPUTED_VALUE"""),115.1)</f>
        <v>115.1</v>
      </c>
      <c r="D45" s="1">
        <f>IFERROR(__xludf.DUMMYFUNCTION("""COMPUTED_VALUE"""),97.53)</f>
        <v>97.53</v>
      </c>
      <c r="E45" s="1">
        <f>IFERROR(__xludf.DUMMYFUNCTION("""COMPUTED_VALUE"""),114.33)</f>
        <v>114.33</v>
      </c>
      <c r="F45" s="1">
        <f>IFERROR(__xludf.DUMMYFUNCTION("""COMPUTED_VALUE"""),6.12918336E8)</f>
        <v>612918336</v>
      </c>
    </row>
    <row r="46">
      <c r="A46" s="3">
        <f>IFERROR(__xludf.DUMMYFUNCTION("""COMPUTED_VALUE"""),45757.66666666667)</f>
        <v>45757.66667</v>
      </c>
      <c r="B46" s="2">
        <f>IFERROR(__xludf.DUMMYFUNCTION("""COMPUTED_VALUE"""),109.37)</f>
        <v>109.37</v>
      </c>
      <c r="C46" s="1">
        <f>IFERROR(__xludf.DUMMYFUNCTION("""COMPUTED_VALUE"""),110.86)</f>
        <v>110.86</v>
      </c>
      <c r="D46" s="1">
        <f>IFERROR(__xludf.DUMMYFUNCTION("""COMPUTED_VALUE"""),99.15)</f>
        <v>99.15</v>
      </c>
      <c r="E46" s="1">
        <f>IFERROR(__xludf.DUMMYFUNCTION("""COMPUTED_VALUE"""),107.57)</f>
        <v>107.57</v>
      </c>
      <c r="F46" s="1">
        <f>IFERROR(__xludf.DUMMYFUNCTION("""COMPUTED_VALUE"""),4.37812353E8)</f>
        <v>437812353</v>
      </c>
    </row>
    <row r="47">
      <c r="A47" s="3">
        <f>IFERROR(__xludf.DUMMYFUNCTION("""COMPUTED_VALUE"""),45758.66666666667)</f>
        <v>45758.66667</v>
      </c>
      <c r="B47" s="2">
        <f>IFERROR(__xludf.DUMMYFUNCTION("""COMPUTED_VALUE"""),108.5)</f>
        <v>108.5</v>
      </c>
      <c r="C47" s="1">
        <f>IFERROR(__xludf.DUMMYFUNCTION("""COMPUTED_VALUE"""),111.55)</f>
        <v>111.55</v>
      </c>
      <c r="D47" s="1">
        <f>IFERROR(__xludf.DUMMYFUNCTION("""COMPUTED_VALUE"""),107.48)</f>
        <v>107.48</v>
      </c>
      <c r="E47" s="1">
        <f>IFERROR(__xludf.DUMMYFUNCTION("""COMPUTED_VALUE"""),110.93)</f>
        <v>110.93</v>
      </c>
      <c r="F47" s="1">
        <f>IFERROR(__xludf.DUMMYFUNCTION("""COMPUTED_VALUE"""),3.13417265E8)</f>
        <v>313417265</v>
      </c>
    </row>
    <row r="48">
      <c r="A48" s="3">
        <f>IFERROR(__xludf.DUMMYFUNCTION("""COMPUTED_VALUE"""),45761.66666666667)</f>
        <v>45761.66667</v>
      </c>
      <c r="B48" s="2">
        <f>IFERROR(__xludf.DUMMYFUNCTION("""COMPUTED_VALUE"""),114.11)</f>
        <v>114.11</v>
      </c>
      <c r="C48" s="1">
        <f>IFERROR(__xludf.DUMMYFUNCTION("""COMPUTED_VALUE"""),114.29)</f>
        <v>114.29</v>
      </c>
      <c r="D48" s="1">
        <f>IFERROR(__xludf.DUMMYFUNCTION("""COMPUTED_VALUE"""),109.07)</f>
        <v>109.07</v>
      </c>
      <c r="E48" s="1">
        <f>IFERROR(__xludf.DUMMYFUNCTION("""COMPUTED_VALUE"""),110.71)</f>
        <v>110.71</v>
      </c>
      <c r="F48" s="1">
        <f>IFERROR(__xludf.DUMMYFUNCTION("""COMPUTED_VALUE"""),2.64705049E8)</f>
        <v>264705049</v>
      </c>
    </row>
    <row r="49">
      <c r="A49" s="3">
        <f>IFERROR(__xludf.DUMMYFUNCTION("""COMPUTED_VALUE"""),45762.66666666667)</f>
        <v>45762.66667</v>
      </c>
      <c r="B49" s="2">
        <f>IFERROR(__xludf.DUMMYFUNCTION("""COMPUTED_VALUE"""),110.97)</f>
        <v>110.97</v>
      </c>
      <c r="C49" s="1">
        <f>IFERROR(__xludf.DUMMYFUNCTION("""COMPUTED_VALUE"""),113.62)</f>
        <v>113.62</v>
      </c>
      <c r="D49" s="1">
        <f>IFERROR(__xludf.DUMMYFUNCTION("""COMPUTED_VALUE"""),110.5)</f>
        <v>110.5</v>
      </c>
      <c r="E49" s="1">
        <f>IFERROR(__xludf.DUMMYFUNCTION("""COMPUTED_VALUE"""),112.2)</f>
        <v>112.2</v>
      </c>
      <c r="F49" s="1">
        <f>IFERROR(__xludf.DUMMYFUNCTION("""COMPUTED_VALUE"""),2.289669E8)</f>
        <v>228966900</v>
      </c>
    </row>
    <row r="50">
      <c r="A50" s="3">
        <f>IFERROR(__xludf.DUMMYFUNCTION("""COMPUTED_VALUE"""),45763.66666666667)</f>
        <v>45763.66667</v>
      </c>
      <c r="B50" s="2">
        <f>IFERROR(__xludf.DUMMYFUNCTION("""COMPUTED_VALUE"""),104.55)</f>
        <v>104.55</v>
      </c>
      <c r="C50" s="1">
        <f>IFERROR(__xludf.DUMMYFUNCTION("""COMPUTED_VALUE"""),106.79)</f>
        <v>106.79</v>
      </c>
      <c r="D50" s="1">
        <f>IFERROR(__xludf.DUMMYFUNCTION("""COMPUTED_VALUE"""),100.45)</f>
        <v>100.45</v>
      </c>
      <c r="E50" s="1">
        <f>IFERROR(__xludf.DUMMYFUNCTION("""COMPUTED_VALUE"""),104.49)</f>
        <v>104.49</v>
      </c>
      <c r="F50" s="1">
        <f>IFERROR(__xludf.DUMMYFUNCTION("""COMPUTED_VALUE"""),3.9701687E8)</f>
        <v>397016870</v>
      </c>
    </row>
    <row r="51">
      <c r="A51" s="3">
        <f>IFERROR(__xludf.DUMMYFUNCTION("""COMPUTED_VALUE"""),45764.66666666667)</f>
        <v>45764.66667</v>
      </c>
      <c r="B51" s="2">
        <f>IFERROR(__xludf.DUMMYFUNCTION("""COMPUTED_VALUE"""),104.45)</f>
        <v>104.45</v>
      </c>
      <c r="C51" s="1">
        <f>IFERROR(__xludf.DUMMYFUNCTION("""COMPUTED_VALUE"""),104.47)</f>
        <v>104.47</v>
      </c>
      <c r="D51" s="1">
        <f>IFERROR(__xludf.DUMMYFUNCTION("""COMPUTED_VALUE"""),100.05)</f>
        <v>100.05</v>
      </c>
      <c r="E51" s="1">
        <f>IFERROR(__xludf.DUMMYFUNCTION("""COMPUTED_VALUE"""),101.49)</f>
        <v>101.49</v>
      </c>
      <c r="F51" s="1">
        <f>IFERROR(__xludf.DUMMYFUNCTION("""COMPUTED_VALUE"""),2.92517465E8)</f>
        <v>292517465</v>
      </c>
    </row>
    <row r="52">
      <c r="A52" s="3">
        <f>IFERROR(__xludf.DUMMYFUNCTION("""COMPUTED_VALUE"""),45768.66666666667)</f>
        <v>45768.66667</v>
      </c>
      <c r="B52" s="2">
        <f>IFERROR(__xludf.DUMMYFUNCTION("""COMPUTED_VALUE"""),98.77)</f>
        <v>98.77</v>
      </c>
      <c r="C52" s="1">
        <f>IFERROR(__xludf.DUMMYFUNCTION("""COMPUTED_VALUE"""),99.44)</f>
        <v>99.44</v>
      </c>
      <c r="D52" s="1">
        <f>IFERROR(__xludf.DUMMYFUNCTION("""COMPUTED_VALUE"""),95.04)</f>
        <v>95.04</v>
      </c>
      <c r="E52" s="1">
        <f>IFERROR(__xludf.DUMMYFUNCTION("""COMPUTED_VALUE"""),96.91)</f>
        <v>96.91</v>
      </c>
      <c r="F52" s="1">
        <f>IFERROR(__xludf.DUMMYFUNCTION("""COMPUTED_VALUE"""),2.88501136E8)</f>
        <v>288501136</v>
      </c>
    </row>
    <row r="53">
      <c r="A53" s="3">
        <f>IFERROR(__xludf.DUMMYFUNCTION("""COMPUTED_VALUE"""),45769.66666666667)</f>
        <v>45769.66667</v>
      </c>
      <c r="B53" s="2">
        <f>IFERROR(__xludf.DUMMYFUNCTION("""COMPUTED_VALUE"""),98.78)</f>
        <v>98.78</v>
      </c>
      <c r="C53" s="1">
        <f>IFERROR(__xludf.DUMMYFUNCTION("""COMPUTED_VALUE"""),99.81)</f>
        <v>99.81</v>
      </c>
      <c r="D53" s="1">
        <f>IFERROR(__xludf.DUMMYFUNCTION("""COMPUTED_VALUE"""),97.28)</f>
        <v>97.28</v>
      </c>
      <c r="E53" s="1">
        <f>IFERROR(__xludf.DUMMYFUNCTION("""COMPUTED_VALUE"""),98.89)</f>
        <v>98.89</v>
      </c>
      <c r="F53" s="1">
        <f>IFERROR(__xludf.DUMMYFUNCTION("""COMPUTED_VALUE"""),2.41004784E8)</f>
        <v>241004784</v>
      </c>
    </row>
    <row r="54">
      <c r="A54" s="3">
        <f>IFERROR(__xludf.DUMMYFUNCTION("""COMPUTED_VALUE"""),45770.66666666667)</f>
        <v>45770.66667</v>
      </c>
      <c r="B54" s="2">
        <f>IFERROR(__xludf.DUMMYFUNCTION("""COMPUTED_VALUE"""),104.52)</f>
        <v>104.52</v>
      </c>
      <c r="C54" s="1">
        <f>IFERROR(__xludf.DUMMYFUNCTION("""COMPUTED_VALUE"""),104.8)</f>
        <v>104.8</v>
      </c>
      <c r="D54" s="1">
        <f>IFERROR(__xludf.DUMMYFUNCTION("""COMPUTED_VALUE"""),102.02)</f>
        <v>102.02</v>
      </c>
      <c r="E54" s="1">
        <f>IFERROR(__xludf.DUMMYFUNCTION("""COMPUTED_VALUE"""),102.71)</f>
        <v>102.71</v>
      </c>
      <c r="F54" s="1">
        <f>IFERROR(__xludf.DUMMYFUNCTION("""COMPUTED_VALUE"""),2.47525971E8)</f>
        <v>247525971</v>
      </c>
    </row>
    <row r="55">
      <c r="A55" s="3">
        <f>IFERROR(__xludf.DUMMYFUNCTION("""COMPUTED_VALUE"""),45771.66666666667)</f>
        <v>45771.66667</v>
      </c>
      <c r="B55" s="2">
        <f>IFERROR(__xludf.DUMMYFUNCTION("""COMPUTED_VALUE"""),103.48)</f>
        <v>103.48</v>
      </c>
      <c r="C55" s="1">
        <f>IFERROR(__xludf.DUMMYFUNCTION("""COMPUTED_VALUE"""),106.54)</f>
        <v>106.54</v>
      </c>
      <c r="D55" s="1">
        <f>IFERROR(__xludf.DUMMYFUNCTION("""COMPUTED_VALUE"""),103.11)</f>
        <v>103.11</v>
      </c>
      <c r="E55" s="1">
        <f>IFERROR(__xludf.DUMMYFUNCTION("""COMPUTED_VALUE"""),106.43)</f>
        <v>106.43</v>
      </c>
      <c r="F55" s="1">
        <f>IFERROR(__xludf.DUMMYFUNCTION("""COMPUTED_VALUE"""),2.20815041E8)</f>
        <v>220815041</v>
      </c>
    </row>
    <row r="56">
      <c r="A56" s="3">
        <f>IFERROR(__xludf.DUMMYFUNCTION("""COMPUTED_VALUE"""),45772.66666666667)</f>
        <v>45772.66667</v>
      </c>
      <c r="B56" s="2">
        <f>IFERROR(__xludf.DUMMYFUNCTION("""COMPUTED_VALUE"""),106.85)</f>
        <v>106.85</v>
      </c>
      <c r="C56" s="1">
        <f>IFERROR(__xludf.DUMMYFUNCTION("""COMPUTED_VALUE"""),111.92)</f>
        <v>111.92</v>
      </c>
      <c r="D56" s="1">
        <f>IFERROR(__xludf.DUMMYFUNCTION("""COMPUTED_VALUE"""),105.73)</f>
        <v>105.73</v>
      </c>
      <c r="E56" s="1">
        <f>IFERROR(__xludf.DUMMYFUNCTION("""COMPUTED_VALUE"""),111.01)</f>
        <v>111.01</v>
      </c>
      <c r="F56" s="1">
        <f>IFERROR(__xludf.DUMMYFUNCTION("""COMPUTED_VALUE"""),2.51064672E8)</f>
        <v>251064672</v>
      </c>
    </row>
    <row r="57">
      <c r="A57" s="3">
        <f>IFERROR(__xludf.DUMMYFUNCTION("""COMPUTED_VALUE"""),45775.66666666667)</f>
        <v>45775.66667</v>
      </c>
      <c r="B57" s="2">
        <f>IFERROR(__xludf.DUMMYFUNCTION("""COMPUTED_VALUE"""),109.69)</f>
        <v>109.69</v>
      </c>
      <c r="C57" s="1">
        <f>IFERROR(__xludf.DUMMYFUNCTION("""COMPUTED_VALUE"""),110.37)</f>
        <v>110.37</v>
      </c>
      <c r="D57" s="1">
        <f>IFERROR(__xludf.DUMMYFUNCTION("""COMPUTED_VALUE"""),106.02)</f>
        <v>106.02</v>
      </c>
      <c r="E57" s="1">
        <f>IFERROR(__xludf.DUMMYFUNCTION("""COMPUTED_VALUE"""),108.73)</f>
        <v>108.73</v>
      </c>
      <c r="F57" s="1">
        <f>IFERROR(__xludf.DUMMYFUNCTION("""COMPUTED_VALUE"""),2.07708479E8)</f>
        <v>207708479</v>
      </c>
    </row>
    <row r="58">
      <c r="A58" s="3">
        <f>IFERROR(__xludf.DUMMYFUNCTION("""COMPUTED_VALUE"""),45776.66666666667)</f>
        <v>45776.66667</v>
      </c>
      <c r="B58" s="2">
        <f>IFERROR(__xludf.DUMMYFUNCTION("""COMPUTED_VALUE"""),107.67)</f>
        <v>107.67</v>
      </c>
      <c r="C58" s="1">
        <f>IFERROR(__xludf.DUMMYFUNCTION("""COMPUTED_VALUE"""),110.2)</f>
        <v>110.2</v>
      </c>
      <c r="D58" s="1">
        <f>IFERROR(__xludf.DUMMYFUNCTION("""COMPUTED_VALUE"""),107.44)</f>
        <v>107.44</v>
      </c>
      <c r="E58" s="1">
        <f>IFERROR(__xludf.DUMMYFUNCTION("""COMPUTED_VALUE"""),109.02)</f>
        <v>109.02</v>
      </c>
      <c r="F58" s="1">
        <f>IFERROR(__xludf.DUMMYFUNCTION("""COMPUTED_VALUE"""),1.70444263E8)</f>
        <v>170444263</v>
      </c>
    </row>
    <row r="59">
      <c r="A59" s="3">
        <f>IFERROR(__xludf.DUMMYFUNCTION("""COMPUTED_VALUE"""),45777.66666666667)</f>
        <v>45777.66667</v>
      </c>
      <c r="B59" s="2">
        <f>IFERROR(__xludf.DUMMYFUNCTION("""COMPUTED_VALUE"""),104.47)</f>
        <v>104.47</v>
      </c>
      <c r="C59" s="1">
        <f>IFERROR(__xludf.DUMMYFUNCTION("""COMPUTED_VALUE"""),108.92)</f>
        <v>108.92</v>
      </c>
      <c r="D59" s="1">
        <f>IFERROR(__xludf.DUMMYFUNCTION("""COMPUTED_VALUE"""),104.08)</f>
        <v>104.08</v>
      </c>
      <c r="E59" s="1">
        <f>IFERROR(__xludf.DUMMYFUNCTION("""COMPUTED_VALUE"""),108.92)</f>
        <v>108.92</v>
      </c>
      <c r="F59" s="1">
        <f>IFERROR(__xludf.DUMMYFUNCTION("""COMPUTED_VALUE"""),2.35044611E8)</f>
        <v>235044611</v>
      </c>
    </row>
    <row r="60">
      <c r="A60" s="3">
        <f>IFERROR(__xludf.DUMMYFUNCTION("""COMPUTED_VALUE"""),45778.66666666667)</f>
        <v>45778.66667</v>
      </c>
      <c r="B60" s="2">
        <f>IFERROR(__xludf.DUMMYFUNCTION("""COMPUTED_VALUE"""),113.08)</f>
        <v>113.08</v>
      </c>
      <c r="C60" s="1">
        <f>IFERROR(__xludf.DUMMYFUNCTION("""COMPUTED_VALUE"""),114.94)</f>
        <v>114.94</v>
      </c>
      <c r="D60" s="1">
        <f>IFERROR(__xludf.DUMMYFUNCTION("""COMPUTED_VALUE"""),111.3)</f>
        <v>111.3</v>
      </c>
      <c r="E60" s="1">
        <f>IFERROR(__xludf.DUMMYFUNCTION("""COMPUTED_VALUE"""),111.61)</f>
        <v>111.61</v>
      </c>
      <c r="F60" s="1">
        <f>IFERROR(__xludf.DUMMYFUNCTION("""COMPUTED_VALUE"""),2.36121507E8)</f>
        <v>236121507</v>
      </c>
    </row>
    <row r="61">
      <c r="A61" s="3">
        <f>IFERROR(__xludf.DUMMYFUNCTION("""COMPUTED_VALUE"""),45779.66666666667)</f>
        <v>45779.66667</v>
      </c>
      <c r="B61" s="2">
        <f>IFERROR(__xludf.DUMMYFUNCTION("""COMPUTED_VALUE"""),114.18)</f>
        <v>114.18</v>
      </c>
      <c r="C61" s="1">
        <f>IFERROR(__xludf.DUMMYFUNCTION("""COMPUTED_VALUE"""),115.4)</f>
        <v>115.4</v>
      </c>
      <c r="D61" s="1">
        <f>IFERROR(__xludf.DUMMYFUNCTION("""COMPUTED_VALUE"""),113.37)</f>
        <v>113.37</v>
      </c>
      <c r="E61" s="1">
        <f>IFERROR(__xludf.DUMMYFUNCTION("""COMPUTED_VALUE"""),114.5)</f>
        <v>114.5</v>
      </c>
      <c r="F61" s="1">
        <f>IFERROR(__xludf.DUMMYFUNCTION("""COMPUTED_VALUE"""),1.90194778E8)</f>
        <v>190194778</v>
      </c>
    </row>
    <row r="62">
      <c r="A62" s="3">
        <f>IFERROR(__xludf.DUMMYFUNCTION("""COMPUTED_VALUE"""),45782.66666666667)</f>
        <v>45782.66667</v>
      </c>
      <c r="B62" s="2">
        <f>IFERROR(__xludf.DUMMYFUNCTION("""COMPUTED_VALUE"""),112.91)</f>
        <v>112.91</v>
      </c>
      <c r="C62" s="1">
        <f>IFERROR(__xludf.DUMMYFUNCTION("""COMPUTED_VALUE"""),114.67)</f>
        <v>114.67</v>
      </c>
      <c r="D62" s="1">
        <f>IFERROR(__xludf.DUMMYFUNCTION("""COMPUTED_VALUE"""),112.66)</f>
        <v>112.66</v>
      </c>
      <c r="E62" s="1">
        <f>IFERROR(__xludf.DUMMYFUNCTION("""COMPUTED_VALUE"""),113.82)</f>
        <v>113.82</v>
      </c>
      <c r="F62" s="1">
        <f>IFERROR(__xludf.DUMMYFUNCTION("""COMPUTED_VALUE"""),1.33163241E8)</f>
        <v>133163241</v>
      </c>
    </row>
    <row r="63">
      <c r="A63" s="3">
        <f>IFERROR(__xludf.DUMMYFUNCTION("""COMPUTED_VALUE"""),45783.66666666667)</f>
        <v>45783.66667</v>
      </c>
      <c r="B63" s="2">
        <f>IFERROR(__xludf.DUMMYFUNCTION("""COMPUTED_VALUE"""),111.48)</f>
        <v>111.48</v>
      </c>
      <c r="C63" s="1">
        <f>IFERROR(__xludf.DUMMYFUNCTION("""COMPUTED_VALUE"""),114.74)</f>
        <v>114.74</v>
      </c>
      <c r="D63" s="1">
        <f>IFERROR(__xludf.DUMMYFUNCTION("""COMPUTED_VALUE"""),110.82)</f>
        <v>110.82</v>
      </c>
      <c r="E63" s="1">
        <f>IFERROR(__xludf.DUMMYFUNCTION("""COMPUTED_VALUE"""),113.54)</f>
        <v>113.54</v>
      </c>
      <c r="F63" s="1">
        <f>IFERROR(__xludf.DUMMYFUNCTION("""COMPUTED_VALUE"""),1.58525621E8)</f>
        <v>158525621</v>
      </c>
    </row>
    <row r="64">
      <c r="A64" s="3">
        <f>IFERROR(__xludf.DUMMYFUNCTION("""COMPUTED_VALUE"""),45784.66666666667)</f>
        <v>45784.66667</v>
      </c>
      <c r="B64" s="2">
        <f>IFERROR(__xludf.DUMMYFUNCTION("""COMPUTED_VALUE"""),113.05)</f>
        <v>113.05</v>
      </c>
      <c r="C64" s="1">
        <f>IFERROR(__xludf.DUMMYFUNCTION("""COMPUTED_VALUE"""),117.68)</f>
        <v>117.68</v>
      </c>
      <c r="D64" s="1">
        <f>IFERROR(__xludf.DUMMYFUNCTION("""COMPUTED_VALUE"""),112.28)</f>
        <v>112.28</v>
      </c>
      <c r="E64" s="1">
        <f>IFERROR(__xludf.DUMMYFUNCTION("""COMPUTED_VALUE"""),117.06)</f>
        <v>117.06</v>
      </c>
      <c r="F64" s="1">
        <f>IFERROR(__xludf.DUMMYFUNCTION("""COMPUTED_VALUE"""),2.07827821E8)</f>
        <v>207827821</v>
      </c>
    </row>
    <row r="65">
      <c r="A65" s="3">
        <f>IFERROR(__xludf.DUMMYFUNCTION("""COMPUTED_VALUE"""),45785.66666666667)</f>
        <v>45785.66667</v>
      </c>
      <c r="B65" s="2">
        <f>IFERROR(__xludf.DUMMYFUNCTION("""COMPUTED_VALUE"""),118.25)</f>
        <v>118.25</v>
      </c>
      <c r="C65" s="1">
        <f>IFERROR(__xludf.DUMMYFUNCTION("""COMPUTED_VALUE"""),118.68)</f>
        <v>118.68</v>
      </c>
      <c r="D65" s="1">
        <f>IFERROR(__xludf.DUMMYFUNCTION("""COMPUTED_VALUE"""),115.85)</f>
        <v>115.85</v>
      </c>
      <c r="E65" s="1">
        <f>IFERROR(__xludf.DUMMYFUNCTION("""COMPUTED_VALUE"""),117.37)</f>
        <v>117.37</v>
      </c>
      <c r="F65" s="1">
        <f>IFERROR(__xludf.DUMMYFUNCTION("""COMPUTED_VALUE"""),1.98428122E8)</f>
        <v>198428122</v>
      </c>
    </row>
    <row r="66">
      <c r="A66" s="3">
        <f>IFERROR(__xludf.DUMMYFUNCTION("""COMPUTED_VALUE"""),45786.66666666667)</f>
        <v>45786.66667</v>
      </c>
      <c r="B66" s="2">
        <f>IFERROR(__xludf.DUMMYFUNCTION("""COMPUTED_VALUE"""),117.35)</f>
        <v>117.35</v>
      </c>
      <c r="C66" s="1">
        <f>IFERROR(__xludf.DUMMYFUNCTION("""COMPUTED_VALUE"""),118.23)</f>
        <v>118.23</v>
      </c>
      <c r="D66" s="1">
        <f>IFERROR(__xludf.DUMMYFUNCTION("""COMPUTED_VALUE"""),115.21)</f>
        <v>115.21</v>
      </c>
      <c r="E66" s="1">
        <f>IFERROR(__xludf.DUMMYFUNCTION("""COMPUTED_VALUE"""),116.65)</f>
        <v>116.65</v>
      </c>
      <c r="F66" s="1">
        <f>IFERROR(__xludf.DUMMYFUNCTION("""COMPUTED_VALUE"""),1.32972189E8)</f>
        <v>132972189</v>
      </c>
    </row>
    <row r="67">
      <c r="A67" s="3">
        <f>IFERROR(__xludf.DUMMYFUNCTION("""COMPUTED_VALUE"""),45789.66666666667)</f>
        <v>45789.66667</v>
      </c>
      <c r="B67" s="2">
        <f>IFERROR(__xludf.DUMMYFUNCTION("""COMPUTED_VALUE"""),121.97)</f>
        <v>121.97</v>
      </c>
      <c r="C67" s="1">
        <f>IFERROR(__xludf.DUMMYFUNCTION("""COMPUTED_VALUE"""),123.0)</f>
        <v>123</v>
      </c>
      <c r="D67" s="1">
        <f>IFERROR(__xludf.DUMMYFUNCTION("""COMPUTED_VALUE"""),120.28)</f>
        <v>120.28</v>
      </c>
      <c r="E67" s="1">
        <f>IFERROR(__xludf.DUMMYFUNCTION("""COMPUTED_VALUE"""),123.0)</f>
        <v>123</v>
      </c>
      <c r="F67" s="1">
        <f>IFERROR(__xludf.DUMMYFUNCTION("""COMPUTED_VALUE"""),2.25023345E8)</f>
        <v>225023345</v>
      </c>
    </row>
    <row r="68">
      <c r="A68" s="3">
        <f>IFERROR(__xludf.DUMMYFUNCTION("""COMPUTED_VALUE"""),45790.66666666667)</f>
        <v>45790.66667</v>
      </c>
      <c r="B68" s="2">
        <f>IFERROR(__xludf.DUMMYFUNCTION("""COMPUTED_VALUE"""),124.98)</f>
        <v>124.98</v>
      </c>
      <c r="C68" s="1">
        <f>IFERROR(__xludf.DUMMYFUNCTION("""COMPUTED_VALUE"""),131.22)</f>
        <v>131.22</v>
      </c>
      <c r="D68" s="1">
        <f>IFERROR(__xludf.DUMMYFUNCTION("""COMPUTED_VALUE"""),124.47)</f>
        <v>124.47</v>
      </c>
      <c r="E68" s="1">
        <f>IFERROR(__xludf.DUMMYFUNCTION("""COMPUTED_VALUE"""),129.93)</f>
        <v>129.93</v>
      </c>
      <c r="F68" s="1">
        <f>IFERROR(__xludf.DUMMYFUNCTION("""COMPUTED_VALUE"""),3.30430105E8)</f>
        <v>330430105</v>
      </c>
    </row>
    <row r="69">
      <c r="A69" s="3">
        <f>IFERROR(__xludf.DUMMYFUNCTION("""COMPUTED_VALUE"""),45791.66666666667)</f>
        <v>45791.66667</v>
      </c>
      <c r="B69" s="2">
        <f>IFERROR(__xludf.DUMMYFUNCTION("""COMPUTED_VALUE"""),133.2)</f>
        <v>133.2</v>
      </c>
      <c r="C69" s="1">
        <f>IFERROR(__xludf.DUMMYFUNCTION("""COMPUTED_VALUE"""),135.44)</f>
        <v>135.44</v>
      </c>
      <c r="D69" s="1">
        <f>IFERROR(__xludf.DUMMYFUNCTION("""COMPUTED_VALUE"""),131.68)</f>
        <v>131.68</v>
      </c>
      <c r="E69" s="1">
        <f>IFERROR(__xludf.DUMMYFUNCTION("""COMPUTED_VALUE"""),135.34)</f>
        <v>135.34</v>
      </c>
      <c r="F69" s="1">
        <f>IFERROR(__xludf.DUMMYFUNCTION("""COMPUTED_VALUE"""),2.8118083E8)</f>
        <v>281180830</v>
      </c>
    </row>
    <row r="70">
      <c r="A70" s="3">
        <f>IFERROR(__xludf.DUMMYFUNCTION("""COMPUTED_VALUE"""),45792.66666666667)</f>
        <v>45792.66667</v>
      </c>
      <c r="B70" s="2">
        <f>IFERROR(__xludf.DUMMYFUNCTION("""COMPUTED_VALUE"""),134.29)</f>
        <v>134.29</v>
      </c>
      <c r="C70" s="1">
        <f>IFERROR(__xludf.DUMMYFUNCTION("""COMPUTED_VALUE"""),136.3)</f>
        <v>136.3</v>
      </c>
      <c r="D70" s="1">
        <f>IFERROR(__xludf.DUMMYFUNCTION("""COMPUTED_VALUE"""),132.66)</f>
        <v>132.66</v>
      </c>
      <c r="E70" s="1">
        <f>IFERROR(__xludf.DUMMYFUNCTION("""COMPUTED_VALUE"""),134.83)</f>
        <v>134.83</v>
      </c>
      <c r="F70" s="1">
        <f>IFERROR(__xludf.DUMMYFUNCTION("""COMPUTED_VALUE"""),2.26632563E8)</f>
        <v>226632563</v>
      </c>
    </row>
    <row r="71">
      <c r="A71" s="3">
        <f>IFERROR(__xludf.DUMMYFUNCTION("""COMPUTED_VALUE"""),45793.66666666667)</f>
        <v>45793.66667</v>
      </c>
      <c r="B71" s="2">
        <f>IFERROR(__xludf.DUMMYFUNCTION("""COMPUTED_VALUE"""),136.22)</f>
        <v>136.22</v>
      </c>
      <c r="C71" s="1">
        <f>IFERROR(__xludf.DUMMYFUNCTION("""COMPUTED_VALUE"""),136.35)</f>
        <v>136.35</v>
      </c>
      <c r="D71" s="1">
        <f>IFERROR(__xludf.DUMMYFUNCTION("""COMPUTED_VALUE"""),133.46)</f>
        <v>133.46</v>
      </c>
      <c r="E71" s="1">
        <f>IFERROR(__xludf.DUMMYFUNCTION("""COMPUTED_VALUE"""),135.4)</f>
        <v>135.4</v>
      </c>
      <c r="F71" s="1">
        <f>IFERROR(__xludf.DUMMYFUNCTION("""COMPUTED_VALUE"""),2.26542451E8)</f>
        <v>226542451</v>
      </c>
    </row>
    <row r="72">
      <c r="A72" s="3">
        <f>IFERROR(__xludf.DUMMYFUNCTION("""COMPUTED_VALUE"""),45796.66666666667)</f>
        <v>45796.66667</v>
      </c>
      <c r="B72" s="2">
        <f>IFERROR(__xludf.DUMMYFUNCTION("""COMPUTED_VALUE"""),132.39)</f>
        <v>132.39</v>
      </c>
      <c r="C72" s="1">
        <f>IFERROR(__xludf.DUMMYFUNCTION("""COMPUTED_VALUE"""),135.87)</f>
        <v>135.87</v>
      </c>
      <c r="D72" s="1">
        <f>IFERROR(__xludf.DUMMYFUNCTION("""COMPUTED_VALUE"""),132.39)</f>
        <v>132.39</v>
      </c>
      <c r="E72" s="1">
        <f>IFERROR(__xludf.DUMMYFUNCTION("""COMPUTED_VALUE"""),135.57)</f>
        <v>135.57</v>
      </c>
      <c r="F72" s="1">
        <f>IFERROR(__xludf.DUMMYFUNCTION("""COMPUTED_VALUE"""),1.93154571E8)</f>
        <v>193154571</v>
      </c>
    </row>
    <row r="73">
      <c r="A73" s="3">
        <f>IFERROR(__xludf.DUMMYFUNCTION("""COMPUTED_VALUE"""),45797.66666666667)</f>
        <v>45797.66667</v>
      </c>
      <c r="B73" s="2">
        <f>IFERROR(__xludf.DUMMYFUNCTION("""COMPUTED_VALUE"""),134.29)</f>
        <v>134.29</v>
      </c>
      <c r="C73" s="1">
        <f>IFERROR(__xludf.DUMMYFUNCTION("""COMPUTED_VALUE"""),134.58)</f>
        <v>134.58</v>
      </c>
      <c r="D73" s="1">
        <f>IFERROR(__xludf.DUMMYFUNCTION("""COMPUTED_VALUE"""),132.62)</f>
        <v>132.62</v>
      </c>
      <c r="E73" s="1">
        <f>IFERROR(__xludf.DUMMYFUNCTION("""COMPUTED_VALUE"""),134.38)</f>
        <v>134.38</v>
      </c>
      <c r="F73" s="1">
        <f>IFERROR(__xludf.DUMMYFUNCTION("""COMPUTED_VALUE"""),1.61514247E8)</f>
        <v>161514247</v>
      </c>
    </row>
    <row r="74">
      <c r="A74" s="3">
        <f>IFERROR(__xludf.DUMMYFUNCTION("""COMPUTED_VALUE"""),45798.66666666667)</f>
        <v>45798.66667</v>
      </c>
      <c r="B74" s="2">
        <f>IFERROR(__xludf.DUMMYFUNCTION("""COMPUTED_VALUE"""),133.06)</f>
        <v>133.06</v>
      </c>
      <c r="C74" s="1">
        <f>IFERROR(__xludf.DUMMYFUNCTION("""COMPUTED_VALUE"""),137.4)</f>
        <v>137.4</v>
      </c>
      <c r="D74" s="1">
        <f>IFERROR(__xludf.DUMMYFUNCTION("""COMPUTED_VALUE"""),130.59)</f>
        <v>130.59</v>
      </c>
      <c r="E74" s="1">
        <f>IFERROR(__xludf.DUMMYFUNCTION("""COMPUTED_VALUE"""),131.8)</f>
        <v>131.8</v>
      </c>
      <c r="F74" s="1">
        <f>IFERROR(__xludf.DUMMYFUNCTION("""COMPUTED_VALUE"""),2.70608738E8)</f>
        <v>270608738</v>
      </c>
    </row>
    <row r="75">
      <c r="A75" s="3">
        <f>IFERROR(__xludf.DUMMYFUNCTION("""COMPUTED_VALUE"""),45799.66666666667)</f>
        <v>45799.66667</v>
      </c>
      <c r="B75" s="2">
        <f>IFERROR(__xludf.DUMMYFUNCTION("""COMPUTED_VALUE"""),133.06)</f>
        <v>133.06</v>
      </c>
      <c r="C75" s="1">
        <f>IFERROR(__xludf.DUMMYFUNCTION("""COMPUTED_VALUE"""),137.4)</f>
        <v>137.4</v>
      </c>
      <c r="D75" s="1">
        <f>IFERROR(__xludf.DUMMYFUNCTION("""COMPUTED_VALUE"""),130.59)</f>
        <v>130.59</v>
      </c>
      <c r="E75" s="1">
        <f>IFERROR(__xludf.DUMMYFUNCTION("""COMPUTED_VALUE"""),131.8)</f>
        <v>131.8</v>
      </c>
      <c r="F75" s="1">
        <f>IFERROR(__xludf.DUMMYFUNCTION("""COMPUTED_VALUE"""),7196599.0)</f>
        <v>7196599</v>
      </c>
    </row>
    <row r="76">
      <c r="A76" s="3">
        <f>IFERROR(__xludf.DUMMYFUNCTION("""COMPUTED_VALUE"""),45800.66666666667)</f>
        <v>45800.66667</v>
      </c>
      <c r="B76" s="2">
        <f>IFERROR(__xludf.DUMMYFUNCTION("""COMPUTED_VALUE"""),130.0)</f>
        <v>130</v>
      </c>
      <c r="C76" s="1">
        <f>IFERROR(__xludf.DUMMYFUNCTION("""COMPUTED_VALUE"""),132.68)</f>
        <v>132.68</v>
      </c>
      <c r="D76" s="1">
        <f>IFERROR(__xludf.DUMMYFUNCTION("""COMPUTED_VALUE"""),129.16)</f>
        <v>129.16</v>
      </c>
      <c r="E76" s="1">
        <f>IFERROR(__xludf.DUMMYFUNCTION("""COMPUTED_VALUE"""),131.29)</f>
        <v>131.29</v>
      </c>
      <c r="F76" s="1">
        <f>IFERROR(__xludf.DUMMYFUNCTION("""COMPUTED_VALUE"""),1.98821324E8)</f>
        <v>198821324</v>
      </c>
    </row>
    <row r="77">
      <c r="A77" s="3">
        <f>IFERROR(__xludf.DUMMYFUNCTION("""COMPUTED_VALUE"""),45804.66666666667)</f>
        <v>45804.66667</v>
      </c>
      <c r="B77" s="2">
        <f>IFERROR(__xludf.DUMMYFUNCTION("""COMPUTED_VALUE"""),134.15)</f>
        <v>134.15</v>
      </c>
      <c r="C77" s="1">
        <f>IFERROR(__xludf.DUMMYFUNCTION("""COMPUTED_VALUE"""),135.66)</f>
        <v>135.66</v>
      </c>
      <c r="D77" s="1">
        <f>IFERROR(__xludf.DUMMYFUNCTION("""COMPUTED_VALUE"""),133.31)</f>
        <v>133.31</v>
      </c>
      <c r="E77" s="1">
        <f>IFERROR(__xludf.DUMMYFUNCTION("""COMPUTED_VALUE"""),135.5)</f>
        <v>135.5</v>
      </c>
      <c r="F77" s="1">
        <f>IFERROR(__xludf.DUMMYFUNCTION("""COMPUTED_VALUE"""),1.92953613E8)</f>
        <v>192953613</v>
      </c>
    </row>
    <row r="78">
      <c r="A78" s="3">
        <f>IFERROR(__xludf.DUMMYFUNCTION("""COMPUTED_VALUE"""),45805.66666666667)</f>
        <v>45805.66667</v>
      </c>
      <c r="B78" s="2">
        <f>IFERROR(__xludf.DUMMYFUNCTION("""COMPUTED_VALUE"""),136.03)</f>
        <v>136.03</v>
      </c>
      <c r="C78" s="1">
        <f>IFERROR(__xludf.DUMMYFUNCTION("""COMPUTED_VALUE"""),137.25)</f>
        <v>137.25</v>
      </c>
      <c r="D78" s="1">
        <f>IFERROR(__xludf.DUMMYFUNCTION("""COMPUTED_VALUE"""),134.79)</f>
        <v>134.79</v>
      </c>
      <c r="E78" s="1">
        <f>IFERROR(__xludf.DUMMYFUNCTION("""COMPUTED_VALUE"""),134.81)</f>
        <v>134.81</v>
      </c>
      <c r="F78" s="1">
        <f>IFERROR(__xludf.DUMMYFUNCTION("""COMPUTED_VALUE"""),3.04021146E8)</f>
        <v>304021146</v>
      </c>
    </row>
    <row r="79">
      <c r="A79" s="3">
        <f>IFERROR(__xludf.DUMMYFUNCTION("""COMPUTED_VALUE"""),45806.66666666667)</f>
        <v>45806.66667</v>
      </c>
      <c r="B79" s="2">
        <f>IFERROR(__xludf.DUMMYFUNCTION("""COMPUTED_VALUE"""),142.25)</f>
        <v>142.25</v>
      </c>
      <c r="C79" s="1">
        <f>IFERROR(__xludf.DUMMYFUNCTION("""COMPUTED_VALUE"""),143.49)</f>
        <v>143.49</v>
      </c>
      <c r="D79" s="1">
        <f>IFERROR(__xludf.DUMMYFUNCTION("""COMPUTED_VALUE"""),137.91)</f>
        <v>137.91</v>
      </c>
      <c r="E79" s="1">
        <f>IFERROR(__xludf.DUMMYFUNCTION("""COMPUTED_VALUE"""),139.19)</f>
        <v>139.19</v>
      </c>
      <c r="F79" s="1">
        <f>IFERROR(__xludf.DUMMYFUNCTION("""COMPUTED_VALUE"""),3.70615167E8)</f>
        <v>370615167</v>
      </c>
    </row>
    <row r="80">
      <c r="A80" s="3">
        <f>IFERROR(__xludf.DUMMYFUNCTION("""COMPUTED_VALUE"""),45807.66666666667)</f>
        <v>45807.66667</v>
      </c>
      <c r="B80" s="2">
        <f>IFERROR(__xludf.DUMMYFUNCTION("""COMPUTED_VALUE"""),138.72)</f>
        <v>138.72</v>
      </c>
      <c r="C80" s="1">
        <f>IFERROR(__xludf.DUMMYFUNCTION("""COMPUTED_VALUE"""),139.62)</f>
        <v>139.62</v>
      </c>
      <c r="D80" s="1">
        <f>IFERROR(__xludf.DUMMYFUNCTION("""COMPUTED_VALUE"""),132.92)</f>
        <v>132.92</v>
      </c>
      <c r="E80" s="1">
        <f>IFERROR(__xludf.DUMMYFUNCTION("""COMPUTED_VALUE"""),135.13)</f>
        <v>135.13</v>
      </c>
      <c r="F80" s="1">
        <f>IFERROR(__xludf.DUMMYFUNCTION("""COMPUTED_VALUE"""),3.33170851E8)</f>
        <v>333170851</v>
      </c>
    </row>
    <row r="81">
      <c r="A81" s="3">
        <f>IFERROR(__xludf.DUMMYFUNCTION("""COMPUTED_VALUE"""),45810.66666666667)</f>
        <v>45810.66667</v>
      </c>
      <c r="B81" s="2">
        <f>IFERROR(__xludf.DUMMYFUNCTION("""COMPUTED_VALUE"""),135.49)</f>
        <v>135.49</v>
      </c>
      <c r="C81" s="1">
        <f>IFERROR(__xludf.DUMMYFUNCTION("""COMPUTED_VALUE"""),138.12)</f>
        <v>138.12</v>
      </c>
      <c r="D81" s="1">
        <f>IFERROR(__xludf.DUMMYFUNCTION("""COMPUTED_VALUE"""),135.4)</f>
        <v>135.4</v>
      </c>
      <c r="E81" s="1">
        <f>IFERROR(__xludf.DUMMYFUNCTION("""COMPUTED_VALUE"""),137.38)</f>
        <v>137.38</v>
      </c>
      <c r="F81" s="1">
        <f>IFERROR(__xludf.DUMMYFUNCTION("""COMPUTED_VALUE"""),1.97663116E8)</f>
        <v>197663116</v>
      </c>
    </row>
    <row r="82">
      <c r="A82" s="3">
        <f>IFERROR(__xludf.DUMMYFUNCTION("""COMPUTED_VALUE"""),45811.66666666667)</f>
        <v>45811.66667</v>
      </c>
      <c r="B82" s="2">
        <f>IFERROR(__xludf.DUMMYFUNCTION("""COMPUTED_VALUE"""),138.78)</f>
        <v>138.78</v>
      </c>
      <c r="C82" s="1">
        <f>IFERROR(__xludf.DUMMYFUNCTION("""COMPUTED_VALUE"""),142.0)</f>
        <v>142</v>
      </c>
      <c r="D82" s="1">
        <f>IFERROR(__xludf.DUMMYFUNCTION("""COMPUTED_VALUE"""),137.95)</f>
        <v>137.95</v>
      </c>
      <c r="E82" s="1">
        <f>IFERROR(__xludf.DUMMYFUNCTION("""COMPUTED_VALUE"""),141.22)</f>
        <v>141.22</v>
      </c>
      <c r="F82" s="1">
        <f>IFERROR(__xludf.DUMMYFUNCTION("""COMPUTED_VALUE"""),2.25578783E8)</f>
        <v>225578783</v>
      </c>
    </row>
    <row r="83">
      <c r="A83" s="3">
        <f>IFERROR(__xludf.DUMMYFUNCTION("""COMPUTED_VALUE"""),45812.66666666667)</f>
        <v>45812.66667</v>
      </c>
      <c r="B83" s="2">
        <f>IFERROR(__xludf.DUMMYFUNCTION("""COMPUTED_VALUE"""),142.19)</f>
        <v>142.19</v>
      </c>
      <c r="C83" s="1">
        <f>IFERROR(__xludf.DUMMYFUNCTION("""COMPUTED_VALUE"""),142.39)</f>
        <v>142.39</v>
      </c>
      <c r="D83" s="1">
        <f>IFERROR(__xludf.DUMMYFUNCTION("""COMPUTED_VALUE"""),139.54)</f>
        <v>139.54</v>
      </c>
      <c r="E83" s="1">
        <f>IFERROR(__xludf.DUMMYFUNCTION("""COMPUTED_VALUE"""),141.92)</f>
        <v>141.92</v>
      </c>
      <c r="F83" s="1">
        <f>IFERROR(__xludf.DUMMYFUNCTION("""COMPUTED_VALUE"""),1.67120819E8)</f>
        <v>167120819</v>
      </c>
    </row>
    <row r="84">
      <c r="A84" s="3">
        <f>IFERROR(__xludf.DUMMYFUNCTION("""COMPUTED_VALUE"""),45813.66666666667)</f>
        <v>45813.66667</v>
      </c>
      <c r="B84" s="2">
        <f>IFERROR(__xludf.DUMMYFUNCTION("""COMPUTED_VALUE"""),142.17)</f>
        <v>142.17</v>
      </c>
      <c r="C84" s="1">
        <f>IFERROR(__xludf.DUMMYFUNCTION("""COMPUTED_VALUE"""),144.0)</f>
        <v>144</v>
      </c>
      <c r="D84" s="1">
        <f>IFERROR(__xludf.DUMMYFUNCTION("""COMPUTED_VALUE"""),138.83)</f>
        <v>138.83</v>
      </c>
      <c r="E84" s="1">
        <f>IFERROR(__xludf.DUMMYFUNCTION("""COMPUTED_VALUE"""),139.99)</f>
        <v>139.99</v>
      </c>
      <c r="F84" s="1">
        <f>IFERROR(__xludf.DUMMYFUNCTION("""COMPUTED_VALUE"""),2.32410759E8)</f>
        <v>232410759</v>
      </c>
    </row>
    <row r="85">
      <c r="A85" s="3">
        <f>IFERROR(__xludf.DUMMYFUNCTION("""COMPUTED_VALUE"""),45814.66666666667)</f>
        <v>45814.66667</v>
      </c>
      <c r="B85" s="2">
        <f>IFERROR(__xludf.DUMMYFUNCTION("""COMPUTED_VALUE"""),142.51)</f>
        <v>142.51</v>
      </c>
      <c r="C85" s="1">
        <f>IFERROR(__xludf.DUMMYFUNCTION("""COMPUTED_VALUE"""),143.27)</f>
        <v>143.27</v>
      </c>
      <c r="D85" s="1">
        <f>IFERROR(__xludf.DUMMYFUNCTION("""COMPUTED_VALUE"""),141.51)</f>
        <v>141.51</v>
      </c>
      <c r="E85" s="1">
        <f>IFERROR(__xludf.DUMMYFUNCTION("""COMPUTED_VALUE"""),141.72)</f>
        <v>141.72</v>
      </c>
      <c r="F85" s="1">
        <f>IFERROR(__xludf.DUMMYFUNCTION("""COMPUTED_VALUE"""),1.53986153E8)</f>
        <v>153986153</v>
      </c>
    </row>
    <row r="86">
      <c r="A86" s="3">
        <f>IFERROR(__xludf.DUMMYFUNCTION("""COMPUTED_VALUE"""),45817.66666666667)</f>
        <v>45817.66667</v>
      </c>
      <c r="B86" s="2">
        <f>IFERROR(__xludf.DUMMYFUNCTION("""COMPUTED_VALUE"""),143.19)</f>
        <v>143.19</v>
      </c>
      <c r="C86" s="1">
        <f>IFERROR(__xludf.DUMMYFUNCTION("""COMPUTED_VALUE"""),145.0)</f>
        <v>145</v>
      </c>
      <c r="D86" s="1">
        <f>IFERROR(__xludf.DUMMYFUNCTION("""COMPUTED_VALUE"""),141.94)</f>
        <v>141.94</v>
      </c>
      <c r="E86" s="1">
        <f>IFERROR(__xludf.DUMMYFUNCTION("""COMPUTED_VALUE"""),142.63)</f>
        <v>142.63</v>
      </c>
      <c r="F86" s="1">
        <f>IFERROR(__xludf.DUMMYFUNCTION("""COMPUTED_VALUE"""),1.85114494E8)</f>
        <v>185114494</v>
      </c>
    </row>
    <row r="87">
      <c r="A87" s="3">
        <f>IFERROR(__xludf.DUMMYFUNCTION("""COMPUTED_VALUE"""),45818.66666666667)</f>
        <v>45818.66667</v>
      </c>
      <c r="B87" s="2">
        <f>IFERROR(__xludf.DUMMYFUNCTION("""COMPUTED_VALUE"""),142.69)</f>
        <v>142.69</v>
      </c>
      <c r="C87" s="1">
        <f>IFERROR(__xludf.DUMMYFUNCTION("""COMPUTED_VALUE"""),144.29)</f>
        <v>144.29</v>
      </c>
      <c r="D87" s="1">
        <f>IFERROR(__xludf.DUMMYFUNCTION("""COMPUTED_VALUE"""),141.53)</f>
        <v>141.53</v>
      </c>
      <c r="E87" s="1">
        <f>IFERROR(__xludf.DUMMYFUNCTION("""COMPUTED_VALUE"""),143.96)</f>
        <v>143.96</v>
      </c>
      <c r="F87" s="1">
        <f>IFERROR(__xludf.DUMMYFUNCTION("""COMPUTED_VALUE"""),1.55881897E8)</f>
        <v>155881897</v>
      </c>
    </row>
    <row r="88">
      <c r="A88" s="3">
        <f>IFERROR(__xludf.DUMMYFUNCTION("""COMPUTED_VALUE"""),45819.66666666667)</f>
        <v>45819.66667</v>
      </c>
      <c r="B88" s="2">
        <f>IFERROR(__xludf.DUMMYFUNCTION("""COMPUTED_VALUE"""),144.61)</f>
        <v>144.61</v>
      </c>
      <c r="C88" s="1">
        <f>IFERROR(__xludf.DUMMYFUNCTION("""COMPUTED_VALUE"""),144.99)</f>
        <v>144.99</v>
      </c>
      <c r="D88" s="1">
        <f>IFERROR(__xludf.DUMMYFUNCTION("""COMPUTED_VALUE"""),141.87)</f>
        <v>141.87</v>
      </c>
      <c r="E88" s="1">
        <f>IFERROR(__xludf.DUMMYFUNCTION("""COMPUTED_VALUE"""),142.83)</f>
        <v>142.83</v>
      </c>
      <c r="F88" s="1">
        <f>IFERROR(__xludf.DUMMYFUNCTION("""COMPUTED_VALUE"""),1.67694044E8)</f>
        <v>167694044</v>
      </c>
    </row>
    <row r="89">
      <c r="A89" s="3">
        <f>IFERROR(__xludf.DUMMYFUNCTION("""COMPUTED_VALUE"""),45820.66666666667)</f>
        <v>45820.66667</v>
      </c>
      <c r="B89" s="2">
        <f>IFERROR(__xludf.DUMMYFUNCTION("""COMPUTED_VALUE"""),141.97)</f>
        <v>141.97</v>
      </c>
      <c r="C89" s="1">
        <f>IFERROR(__xludf.DUMMYFUNCTION("""COMPUTED_VALUE"""),145.0)</f>
        <v>145</v>
      </c>
      <c r="D89" s="1">
        <f>IFERROR(__xludf.DUMMYFUNCTION("""COMPUTED_VALUE"""),141.85)</f>
        <v>141.85</v>
      </c>
      <c r="E89" s="1">
        <f>IFERROR(__xludf.DUMMYFUNCTION("""COMPUTED_VALUE"""),145.0)</f>
        <v>145</v>
      </c>
      <c r="F89" s="1">
        <f>IFERROR(__xludf.DUMMYFUNCTION("""COMPUTED_VALUE"""),1.62364991E8)</f>
        <v>162364991</v>
      </c>
    </row>
    <row r="90">
      <c r="A90" s="3">
        <f>IFERROR(__xludf.DUMMYFUNCTION("""COMPUTED_VALUE"""),45821.66666666667)</f>
        <v>45821.66667</v>
      </c>
      <c r="B90" s="2">
        <f>IFERROR(__xludf.DUMMYFUNCTION("""COMPUTED_VALUE"""),142.48)</f>
        <v>142.48</v>
      </c>
      <c r="C90" s="1">
        <f>IFERROR(__xludf.DUMMYFUNCTION("""COMPUTED_VALUE"""),143.58)</f>
        <v>143.58</v>
      </c>
      <c r="D90" s="1">
        <f>IFERROR(__xludf.DUMMYFUNCTION("""COMPUTED_VALUE"""),140.85)</f>
        <v>140.85</v>
      </c>
      <c r="E90" s="1">
        <f>IFERROR(__xludf.DUMMYFUNCTION("""COMPUTED_VALUE"""),141.97)</f>
        <v>141.97</v>
      </c>
      <c r="F90" s="1">
        <f>IFERROR(__xludf.DUMMYFUNCTION("""COMPUTED_VALUE"""),1.80820565E8)</f>
        <v>180820565</v>
      </c>
    </row>
    <row r="91">
      <c r="A91" s="3">
        <f>IFERROR(__xludf.DUMMYFUNCTION("""COMPUTED_VALUE"""),45824.66666666667)</f>
        <v>45824.66667</v>
      </c>
      <c r="B91" s="2">
        <f>IFERROR(__xludf.DUMMYFUNCTION("""COMPUTED_VALUE"""),143.35)</f>
        <v>143.35</v>
      </c>
      <c r="C91" s="1">
        <f>IFERROR(__xludf.DUMMYFUNCTION("""COMPUTED_VALUE"""),146.18)</f>
        <v>146.18</v>
      </c>
      <c r="D91" s="1">
        <f>IFERROR(__xludf.DUMMYFUNCTION("""COMPUTED_VALUE"""),143.2)</f>
        <v>143.2</v>
      </c>
      <c r="E91" s="1">
        <f>IFERROR(__xludf.DUMMYFUNCTION("""COMPUTED_VALUE"""),144.69)</f>
        <v>144.69</v>
      </c>
      <c r="F91" s="1">
        <f>IFERROR(__xludf.DUMMYFUNCTION("""COMPUTED_VALUE"""),1.83133666E8)</f>
        <v>183133666</v>
      </c>
    </row>
    <row r="92">
      <c r="A92" s="3">
        <f>IFERROR(__xludf.DUMMYFUNCTION("""COMPUTED_VALUE"""),45825.66666666667)</f>
        <v>45825.66667</v>
      </c>
      <c r="B92" s="2">
        <f>IFERROR(__xludf.DUMMYFUNCTION("""COMPUTED_VALUE"""),144.49)</f>
        <v>144.49</v>
      </c>
      <c r="C92" s="1">
        <f>IFERROR(__xludf.DUMMYFUNCTION("""COMPUTED_VALUE"""),145.22)</f>
        <v>145.22</v>
      </c>
      <c r="D92" s="1">
        <f>IFERROR(__xludf.DUMMYFUNCTION("""COMPUTED_VALUE"""),143.78)</f>
        <v>143.78</v>
      </c>
      <c r="E92" s="1">
        <f>IFERROR(__xludf.DUMMYFUNCTION("""COMPUTED_VALUE"""),144.12)</f>
        <v>144.12</v>
      </c>
      <c r="F92" s="1">
        <f>IFERROR(__xludf.DUMMYFUNCTION("""COMPUTED_VALUE"""),1.39108E8)</f>
        <v>139108000</v>
      </c>
    </row>
    <row r="93">
      <c r="A93" s="3">
        <f>IFERROR(__xludf.DUMMYFUNCTION("""COMPUTED_VALUE"""),45826.66666666667)</f>
        <v>45826.66667</v>
      </c>
      <c r="B93" s="2">
        <f>IFERROR(__xludf.DUMMYFUNCTION("""COMPUTED_VALUE"""),144.01)</f>
        <v>144.01</v>
      </c>
      <c r="C93" s="1">
        <f>IFERROR(__xludf.DUMMYFUNCTION("""COMPUTED_VALUE"""),145.65)</f>
        <v>145.65</v>
      </c>
      <c r="D93" s="1">
        <f>IFERROR(__xludf.DUMMYFUNCTION("""COMPUTED_VALUE"""),143.12)</f>
        <v>143.12</v>
      </c>
      <c r="E93" s="1">
        <f>IFERROR(__xludf.DUMMYFUNCTION("""COMPUTED_VALUE"""),145.48)</f>
        <v>145.48</v>
      </c>
      <c r="F93" s="1">
        <f>IFERROR(__xludf.DUMMYFUNCTION("""COMPUTED_VALUE"""),1.61494121E8)</f>
        <v>161494121</v>
      </c>
    </row>
    <row r="94">
      <c r="A94" s="3">
        <f>IFERROR(__xludf.DUMMYFUNCTION("""COMPUTED_VALUE"""),45828.66666666667)</f>
        <v>45828.66667</v>
      </c>
      <c r="B94" s="2">
        <f>IFERROR(__xludf.DUMMYFUNCTION("""COMPUTED_VALUE"""),145.45)</f>
        <v>145.45</v>
      </c>
      <c r="C94" s="1">
        <f>IFERROR(__xludf.DUMMYFUNCTION("""COMPUTED_VALUE"""),146.2)</f>
        <v>146.2</v>
      </c>
      <c r="D94" s="1">
        <f>IFERROR(__xludf.DUMMYFUNCTION("""COMPUTED_VALUE"""),142.65)</f>
        <v>142.65</v>
      </c>
      <c r="E94" s="1">
        <f>IFERROR(__xludf.DUMMYFUNCTION("""COMPUTED_VALUE"""),143.85)</f>
        <v>143.85</v>
      </c>
      <c r="F94" s="1">
        <f>IFERROR(__xludf.DUMMYFUNCTION("""COMPUTED_VALUE"""),2.42956157E8)</f>
        <v>242956157</v>
      </c>
    </row>
    <row r="95">
      <c r="A95" s="3">
        <f>IFERROR(__xludf.DUMMYFUNCTION("""COMPUTED_VALUE"""),45831.66666666667)</f>
        <v>45831.66667</v>
      </c>
      <c r="B95" s="2">
        <f>IFERROR(__xludf.DUMMYFUNCTION("""COMPUTED_VALUE"""),142.5)</f>
        <v>142.5</v>
      </c>
      <c r="C95" s="1">
        <f>IFERROR(__xludf.DUMMYFUNCTION("""COMPUTED_VALUE"""),144.78)</f>
        <v>144.78</v>
      </c>
      <c r="D95" s="1">
        <f>IFERROR(__xludf.DUMMYFUNCTION("""COMPUTED_VALUE"""),142.03)</f>
        <v>142.03</v>
      </c>
      <c r="E95" s="1">
        <f>IFERROR(__xludf.DUMMYFUNCTION("""COMPUTED_VALUE"""),144.17)</f>
        <v>144.17</v>
      </c>
      <c r="F95" s="1">
        <f>IFERROR(__xludf.DUMMYFUNCTION("""COMPUTED_VALUE"""),1.54308941E8)</f>
        <v>154308941</v>
      </c>
    </row>
    <row r="96">
      <c r="A96" s="3">
        <f>IFERROR(__xludf.DUMMYFUNCTION("""COMPUTED_VALUE"""),45832.66666666667)</f>
        <v>45832.66667</v>
      </c>
      <c r="B96" s="2">
        <f>IFERROR(__xludf.DUMMYFUNCTION("""COMPUTED_VALUE"""),145.56)</f>
        <v>145.56</v>
      </c>
      <c r="C96" s="1">
        <f>IFERROR(__xludf.DUMMYFUNCTION("""COMPUTED_VALUE"""),147.96)</f>
        <v>147.96</v>
      </c>
      <c r="D96" s="1">
        <f>IFERROR(__xludf.DUMMYFUNCTION("""COMPUTED_VALUE"""),145.5)</f>
        <v>145.5</v>
      </c>
      <c r="E96" s="1">
        <f>IFERROR(__xludf.DUMMYFUNCTION("""COMPUTED_VALUE"""),147.9)</f>
        <v>147.9</v>
      </c>
      <c r="F96" s="1">
        <f>IFERROR(__xludf.DUMMYFUNCTION("""COMPUTED_VALUE"""),1.87566121E8)</f>
        <v>187566121</v>
      </c>
    </row>
    <row r="97">
      <c r="A97" s="3">
        <f>IFERROR(__xludf.DUMMYFUNCTION("""COMPUTED_VALUE"""),45833.66666666667)</f>
        <v>45833.66667</v>
      </c>
      <c r="B97" s="2">
        <f>IFERROR(__xludf.DUMMYFUNCTION("""COMPUTED_VALUE"""),149.27)</f>
        <v>149.27</v>
      </c>
      <c r="C97" s="1">
        <f>IFERROR(__xludf.DUMMYFUNCTION("""COMPUTED_VALUE"""),154.45)</f>
        <v>154.45</v>
      </c>
      <c r="D97" s="1">
        <f>IFERROR(__xludf.DUMMYFUNCTION("""COMPUTED_VALUE"""),149.26)</f>
        <v>149.26</v>
      </c>
      <c r="E97" s="1">
        <f>IFERROR(__xludf.DUMMYFUNCTION("""COMPUTED_VALUE"""),154.31)</f>
        <v>154.31</v>
      </c>
      <c r="F97" s="1">
        <f>IFERROR(__xludf.DUMMYFUNCTION("""COMPUTED_VALUE"""),2.69146471E8)</f>
        <v>269146471</v>
      </c>
    </row>
    <row r="98">
      <c r="A98" s="3">
        <f>IFERROR(__xludf.DUMMYFUNCTION("""COMPUTED_VALUE"""),45834.66666666667)</f>
        <v>45834.66667</v>
      </c>
      <c r="B98" s="2">
        <f>IFERROR(__xludf.DUMMYFUNCTION("""COMPUTED_VALUE"""),155.98)</f>
        <v>155.98</v>
      </c>
      <c r="C98" s="1">
        <f>IFERROR(__xludf.DUMMYFUNCTION("""COMPUTED_VALUE"""),156.72)</f>
        <v>156.72</v>
      </c>
      <c r="D98" s="1">
        <f>IFERROR(__xludf.DUMMYFUNCTION("""COMPUTED_VALUE"""),154.0)</f>
        <v>154</v>
      </c>
      <c r="E98" s="1">
        <f>IFERROR(__xludf.DUMMYFUNCTION("""COMPUTED_VALUE"""),155.02)</f>
        <v>155.02</v>
      </c>
      <c r="F98" s="1">
        <f>IFERROR(__xludf.DUMMYFUNCTION("""COMPUTED_VALUE"""),1.98145746E8)</f>
        <v>198145746</v>
      </c>
    </row>
    <row r="99">
      <c r="A99" s="3">
        <f>IFERROR(__xludf.DUMMYFUNCTION("""COMPUTED_VALUE"""),45835.66666666667)</f>
        <v>45835.66667</v>
      </c>
      <c r="B99" s="2">
        <f>IFERROR(__xludf.DUMMYFUNCTION("""COMPUTED_VALUE"""),156.04)</f>
        <v>156.04</v>
      </c>
      <c r="C99" s="1">
        <f>IFERROR(__xludf.DUMMYFUNCTION("""COMPUTED_VALUE"""),158.71)</f>
        <v>158.71</v>
      </c>
      <c r="D99" s="1">
        <f>IFERROR(__xludf.DUMMYFUNCTION("""COMPUTED_VALUE"""),155.26)</f>
        <v>155.26</v>
      </c>
      <c r="E99" s="1">
        <f>IFERROR(__xludf.DUMMYFUNCTION("""COMPUTED_VALUE"""),157.75)</f>
        <v>157.75</v>
      </c>
      <c r="F99" s="1">
        <f>IFERROR(__xludf.DUMMYFUNCTION("""COMPUTED_VALUE"""),2.63234539E8)</f>
        <v>263234539</v>
      </c>
    </row>
    <row r="100">
      <c r="A100" s="3">
        <f>IFERROR(__xludf.DUMMYFUNCTION("""COMPUTED_VALUE"""),45838.66666666667)</f>
        <v>45838.66667</v>
      </c>
      <c r="B100" s="2">
        <f>IFERROR(__xludf.DUMMYFUNCTION("""COMPUTED_VALUE"""),158.4)</f>
        <v>158.4</v>
      </c>
      <c r="C100" s="1">
        <f>IFERROR(__xludf.DUMMYFUNCTION("""COMPUTED_VALUE"""),158.66)</f>
        <v>158.66</v>
      </c>
      <c r="D100" s="1">
        <f>IFERROR(__xludf.DUMMYFUNCTION("""COMPUTED_VALUE"""),155.96)</f>
        <v>155.96</v>
      </c>
      <c r="E100" s="1">
        <f>IFERROR(__xludf.DUMMYFUNCTION("""COMPUTED_VALUE"""),157.99)</f>
        <v>157.99</v>
      </c>
      <c r="F100" s="1">
        <f>IFERROR(__xludf.DUMMYFUNCTION("""COMPUTED_VALUE"""),1.94580316E8)</f>
        <v>194580316</v>
      </c>
    </row>
    <row r="101">
      <c r="A101" s="3">
        <f>IFERROR(__xludf.DUMMYFUNCTION("""COMPUTED_VALUE"""),45839.66666666667)</f>
        <v>45839.66667</v>
      </c>
      <c r="B101" s="2">
        <f>IFERROR(__xludf.DUMMYFUNCTION("""COMPUTED_VALUE"""),156.29)</f>
        <v>156.29</v>
      </c>
      <c r="C101" s="1">
        <f>IFERROR(__xludf.DUMMYFUNCTION("""COMPUTED_VALUE"""),157.2)</f>
        <v>157.2</v>
      </c>
      <c r="D101" s="1">
        <f>IFERROR(__xludf.DUMMYFUNCTION("""COMPUTED_VALUE"""),151.49)</f>
        <v>151.49</v>
      </c>
      <c r="E101" s="1">
        <f>IFERROR(__xludf.DUMMYFUNCTION("""COMPUTED_VALUE"""),153.3)</f>
        <v>153.3</v>
      </c>
      <c r="F101" s="1">
        <f>IFERROR(__xludf.DUMMYFUNCTION("""COMPUTED_VALUE"""),2.13143621E8)</f>
        <v>213143621</v>
      </c>
    </row>
    <row r="102">
      <c r="A102" s="3">
        <f>IFERROR(__xludf.DUMMYFUNCTION("""COMPUTED_VALUE"""),45840.66666666667)</f>
        <v>45840.66667</v>
      </c>
      <c r="B102" s="2">
        <f>IFERROR(__xludf.DUMMYFUNCTION("""COMPUTED_VALUE"""),152.98)</f>
        <v>152.98</v>
      </c>
      <c r="C102" s="1">
        <f>IFERROR(__xludf.DUMMYFUNCTION("""COMPUTED_VALUE"""),157.6)</f>
        <v>157.6</v>
      </c>
      <c r="D102" s="1">
        <f>IFERROR(__xludf.DUMMYFUNCTION("""COMPUTED_VALUE"""),152.97)</f>
        <v>152.97</v>
      </c>
      <c r="E102" s="1">
        <f>IFERROR(__xludf.DUMMYFUNCTION("""COMPUTED_VALUE"""),157.25)</f>
        <v>157.25</v>
      </c>
      <c r="F102" s="1">
        <f>IFERROR(__xludf.DUMMYFUNCTION("""COMPUTED_VALUE"""),1.71224111E8)</f>
        <v>171224111</v>
      </c>
    </row>
    <row r="103">
      <c r="A103" s="3">
        <f>IFERROR(__xludf.DUMMYFUNCTION("""COMPUTED_VALUE"""),45841.54513888889)</f>
        <v>45841.54514</v>
      </c>
      <c r="B103" s="2">
        <f>IFERROR(__xludf.DUMMYFUNCTION("""COMPUTED_VALUE"""),158.37)</f>
        <v>158.37</v>
      </c>
      <c r="C103" s="1">
        <f>IFERROR(__xludf.DUMMYFUNCTION("""COMPUTED_VALUE"""),160.98)</f>
        <v>160.98</v>
      </c>
      <c r="D103" s="1">
        <f>IFERROR(__xludf.DUMMYFUNCTION("""COMPUTED_VALUE"""),157.77)</f>
        <v>157.77</v>
      </c>
      <c r="E103" s="1">
        <f>IFERROR(__xludf.DUMMYFUNCTION("""COMPUTED_VALUE"""),159.34)</f>
        <v>159.34</v>
      </c>
      <c r="F103" s="1">
        <f>IFERROR(__xludf.DUMMYFUNCTION("""COMPUTED_VALUE"""),1.43716055E8)</f>
        <v>143716055</v>
      </c>
    </row>
    <row r="104">
      <c r="A104" s="3">
        <f>IFERROR(__xludf.DUMMYFUNCTION("""COMPUTED_VALUE"""),45845.66666666667)</f>
        <v>45845.66667</v>
      </c>
      <c r="B104" s="2">
        <f>IFERROR(__xludf.DUMMYFUNCTION("""COMPUTED_VALUE"""),158.2)</f>
        <v>158.2</v>
      </c>
      <c r="C104" s="1">
        <f>IFERROR(__xludf.DUMMYFUNCTION("""COMPUTED_VALUE"""),159.31)</f>
        <v>159.31</v>
      </c>
      <c r="D104" s="1">
        <f>IFERROR(__xludf.DUMMYFUNCTION("""COMPUTED_VALUE"""),157.34)</f>
        <v>157.34</v>
      </c>
      <c r="E104" s="1">
        <f>IFERROR(__xludf.DUMMYFUNCTION("""COMPUTED_VALUE"""),158.24)</f>
        <v>158.24</v>
      </c>
      <c r="F104" s="1">
        <f>IFERROR(__xludf.DUMMYFUNCTION("""COMPUTED_VALUE"""),1.40138975E8)</f>
        <v>140138975</v>
      </c>
    </row>
    <row r="105">
      <c r="A105" s="3">
        <f>IFERROR(__xludf.DUMMYFUNCTION("""COMPUTED_VALUE"""),45846.66666666667)</f>
        <v>45846.66667</v>
      </c>
      <c r="B105" s="2">
        <f>IFERROR(__xludf.DUMMYFUNCTION("""COMPUTED_VALUE"""),159.33)</f>
        <v>159.33</v>
      </c>
      <c r="C105" s="1">
        <f>IFERROR(__xludf.DUMMYFUNCTION("""COMPUTED_VALUE"""),160.22)</f>
        <v>160.22</v>
      </c>
      <c r="D105" s="1">
        <f>IFERROR(__xludf.DUMMYFUNCTION("""COMPUTED_VALUE"""),158.39)</f>
        <v>158.39</v>
      </c>
      <c r="E105" s="1">
        <f>IFERROR(__xludf.DUMMYFUNCTION("""COMPUTED_VALUE"""),160.0)</f>
        <v>160</v>
      </c>
      <c r="F105" s="1">
        <f>IFERROR(__xludf.DUMMYFUNCTION("""COMPUTED_VALUE"""),1.38133025E8)</f>
        <v>138133025</v>
      </c>
    </row>
    <row r="106">
      <c r="A106" s="3">
        <f>IFERROR(__xludf.DUMMYFUNCTION("""COMPUTED_VALUE"""),45847.66666666667)</f>
        <v>45847.66667</v>
      </c>
      <c r="B106" s="2">
        <f>IFERROR(__xludf.DUMMYFUNCTION("""COMPUTED_VALUE"""),161.22)</f>
        <v>161.22</v>
      </c>
      <c r="C106" s="1">
        <f>IFERROR(__xludf.DUMMYFUNCTION("""COMPUTED_VALUE"""),164.42)</f>
        <v>164.42</v>
      </c>
      <c r="D106" s="1">
        <f>IFERROR(__xludf.DUMMYFUNCTION("""COMPUTED_VALUE"""),161.16)</f>
        <v>161.16</v>
      </c>
      <c r="E106" s="1">
        <f>IFERROR(__xludf.DUMMYFUNCTION("""COMPUTED_VALUE"""),162.88)</f>
        <v>162.88</v>
      </c>
      <c r="F106" s="1">
        <f>IFERROR(__xludf.DUMMYFUNCTION("""COMPUTED_VALUE"""),1.83656443E8)</f>
        <v>183656443</v>
      </c>
    </row>
    <row r="107">
      <c r="A107" s="3">
        <f>IFERROR(__xludf.DUMMYFUNCTION("""COMPUTED_VALUE"""),45848.66666666667)</f>
        <v>45848.66667</v>
      </c>
      <c r="B107" s="2">
        <f>IFERROR(__xludf.DUMMYFUNCTION("""COMPUTED_VALUE"""),164.32)</f>
        <v>164.32</v>
      </c>
      <c r="C107" s="1">
        <f>IFERROR(__xludf.DUMMYFUNCTION("""COMPUTED_VALUE"""),164.5)</f>
        <v>164.5</v>
      </c>
      <c r="D107" s="1">
        <f>IFERROR(__xludf.DUMMYFUNCTION("""COMPUTED_VALUE"""),161.61)</f>
        <v>161.61</v>
      </c>
      <c r="E107" s="1">
        <f>IFERROR(__xludf.DUMMYFUNCTION("""COMPUTED_VALUE"""),164.1)</f>
        <v>164.1</v>
      </c>
      <c r="F107" s="1">
        <f>IFERROR(__xludf.DUMMYFUNCTION("""COMPUTED_VALUE"""),1.67704075E8)</f>
        <v>167704075</v>
      </c>
    </row>
    <row r="108">
      <c r="A108" s="3">
        <f>IFERROR(__xludf.DUMMYFUNCTION("""COMPUTED_VALUE"""),45849.66666666667)</f>
        <v>45849.66667</v>
      </c>
      <c r="B108" s="2">
        <f>IFERROR(__xludf.DUMMYFUNCTION("""COMPUTED_VALUE"""),163.72)</f>
        <v>163.72</v>
      </c>
      <c r="C108" s="1">
        <f>IFERROR(__xludf.DUMMYFUNCTION("""COMPUTED_VALUE"""),167.89)</f>
        <v>167.89</v>
      </c>
      <c r="D108" s="1">
        <f>IFERROR(__xludf.DUMMYFUNCTION("""COMPUTED_VALUE"""),163.47)</f>
        <v>163.47</v>
      </c>
      <c r="E108" s="1">
        <f>IFERROR(__xludf.DUMMYFUNCTION("""COMPUTED_VALUE"""),164.92)</f>
        <v>164.92</v>
      </c>
      <c r="F108" s="1">
        <f>IFERROR(__xludf.DUMMYFUNCTION("""COMPUTED_VALUE"""),1.93633263E8)</f>
        <v>193633263</v>
      </c>
    </row>
    <row r="109">
      <c r="A109" s="3">
        <f>IFERROR(__xludf.DUMMYFUNCTION("""COMPUTED_VALUE"""),45852.66666666667)</f>
        <v>45852.66667</v>
      </c>
      <c r="B109" s="2">
        <f>IFERROR(__xludf.DUMMYFUNCTION("""COMPUTED_VALUE"""),165.37)</f>
        <v>165.37</v>
      </c>
      <c r="C109" s="1">
        <f>IFERROR(__xludf.DUMMYFUNCTION("""COMPUTED_VALUE"""),165.49)</f>
        <v>165.49</v>
      </c>
      <c r="D109" s="1">
        <f>IFERROR(__xludf.DUMMYFUNCTION("""COMPUTED_VALUE"""),162.02)</f>
        <v>162.02</v>
      </c>
      <c r="E109" s="1">
        <f>IFERROR(__xludf.DUMMYFUNCTION("""COMPUTED_VALUE"""),164.07)</f>
        <v>164.07</v>
      </c>
      <c r="F109" s="1">
        <f>IFERROR(__xludf.DUMMYFUNCTION("""COMPUTED_VALUE"""),1.36975754E8)</f>
        <v>136975754</v>
      </c>
    </row>
    <row r="110">
      <c r="A110" s="3">
        <f>IFERROR(__xludf.DUMMYFUNCTION("""COMPUTED_VALUE"""),45853.66666666667)</f>
        <v>45853.66667</v>
      </c>
      <c r="B110" s="2">
        <f>IFERROR(__xludf.DUMMYFUNCTION("""COMPUTED_VALUE"""),171.19)</f>
        <v>171.19</v>
      </c>
      <c r="C110" s="1">
        <f>IFERROR(__xludf.DUMMYFUNCTION("""COMPUTED_VALUE"""),172.4)</f>
        <v>172.4</v>
      </c>
      <c r="D110" s="1">
        <f>IFERROR(__xludf.DUMMYFUNCTION("""COMPUTED_VALUE"""),169.2)</f>
        <v>169.2</v>
      </c>
      <c r="E110" s="1">
        <f>IFERROR(__xludf.DUMMYFUNCTION("""COMPUTED_VALUE"""),170.7)</f>
        <v>170.7</v>
      </c>
      <c r="F110" s="1">
        <f>IFERROR(__xludf.DUMMYFUNCTION("""COMPUTED_VALUE"""),2.3062735E8)</f>
        <v>230627350</v>
      </c>
    </row>
    <row r="111">
      <c r="A111" s="3">
        <f>IFERROR(__xludf.DUMMYFUNCTION("""COMPUTED_VALUE"""),45854.66666666667)</f>
        <v>45854.66667</v>
      </c>
      <c r="B111" s="2">
        <f>IFERROR(__xludf.DUMMYFUNCTION("""COMPUTED_VALUE"""),171.06)</f>
        <v>171.06</v>
      </c>
      <c r="C111" s="1">
        <f>IFERROR(__xludf.DUMMYFUNCTION("""COMPUTED_VALUE"""),171.75)</f>
        <v>171.75</v>
      </c>
      <c r="D111" s="1">
        <f>IFERROR(__xludf.DUMMYFUNCTION("""COMPUTED_VALUE"""),168.9)</f>
        <v>168.9</v>
      </c>
      <c r="E111" s="1">
        <f>IFERROR(__xludf.DUMMYFUNCTION("""COMPUTED_VALUE"""),171.37)</f>
        <v>171.37</v>
      </c>
      <c r="F111" s="1">
        <f>IFERROR(__xludf.DUMMYFUNCTION("""COMPUTED_VALUE"""),1.58831509E8)</f>
        <v>158831509</v>
      </c>
    </row>
    <row r="112">
      <c r="A112" s="3">
        <f>IFERROR(__xludf.DUMMYFUNCTION("""COMPUTED_VALUE"""),45855.66666666667)</f>
        <v>45855.66667</v>
      </c>
      <c r="B112" s="2">
        <f>IFERROR(__xludf.DUMMYFUNCTION("""COMPUTED_VALUE"""),172.02)</f>
        <v>172.02</v>
      </c>
      <c r="C112" s="1">
        <f>IFERROR(__xludf.DUMMYFUNCTION("""COMPUTED_VALUE"""),174.16)</f>
        <v>174.16</v>
      </c>
      <c r="D112" s="1">
        <f>IFERROR(__xludf.DUMMYFUNCTION("""COMPUTED_VALUE"""),170.83)</f>
        <v>170.83</v>
      </c>
      <c r="E112" s="1">
        <f>IFERROR(__xludf.DUMMYFUNCTION("""COMPUTED_VALUE"""),173.0)</f>
        <v>173</v>
      </c>
      <c r="F112" s="1">
        <f>IFERROR(__xludf.DUMMYFUNCTION("""COMPUTED_VALUE"""),1.60841119E8)</f>
        <v>160841119</v>
      </c>
    </row>
    <row r="113">
      <c r="A113" s="3">
        <f>IFERROR(__xludf.DUMMYFUNCTION("""COMPUTED_VALUE"""),45856.66666666667)</f>
        <v>45856.66667</v>
      </c>
      <c r="B113" s="2">
        <f>IFERROR(__xludf.DUMMYFUNCTION("""COMPUTED_VALUE"""),173.64)</f>
        <v>173.64</v>
      </c>
      <c r="C113" s="1">
        <f>IFERROR(__xludf.DUMMYFUNCTION("""COMPUTED_VALUE"""),174.25)</f>
        <v>174.25</v>
      </c>
      <c r="D113" s="1">
        <f>IFERROR(__xludf.DUMMYFUNCTION("""COMPUTED_VALUE"""),171.26)</f>
        <v>171.26</v>
      </c>
      <c r="E113" s="1">
        <f>IFERROR(__xludf.DUMMYFUNCTION("""COMPUTED_VALUE"""),172.41)</f>
        <v>172.41</v>
      </c>
      <c r="F113" s="1">
        <f>IFERROR(__xludf.DUMMYFUNCTION("""COMPUTED_VALUE"""),1.46456416E8)</f>
        <v>146456416</v>
      </c>
    </row>
    <row r="114">
      <c r="A114" s="3">
        <f>IFERROR(__xludf.DUMMYFUNCTION("""COMPUTED_VALUE"""),45859.66666666667)</f>
        <v>45859.66667</v>
      </c>
      <c r="B114" s="2">
        <f>IFERROR(__xludf.DUMMYFUNCTION("""COMPUTED_VALUE"""),172.75)</f>
        <v>172.75</v>
      </c>
      <c r="C114" s="1">
        <f>IFERROR(__xludf.DUMMYFUNCTION("""COMPUTED_VALUE"""),173.38)</f>
        <v>173.38</v>
      </c>
      <c r="D114" s="1">
        <f>IFERROR(__xludf.DUMMYFUNCTION("""COMPUTED_VALUE"""),171.0)</f>
        <v>171</v>
      </c>
      <c r="E114" s="1">
        <f>IFERROR(__xludf.DUMMYFUNCTION("""COMPUTED_VALUE"""),171.38)</f>
        <v>171.38</v>
      </c>
      <c r="F114" s="1">
        <f>IFERROR(__xludf.DUMMYFUNCTION("""COMPUTED_VALUE"""),1.23126136E8)</f>
        <v>123126136</v>
      </c>
    </row>
    <row r="115">
      <c r="A115" s="3">
        <f>IFERROR(__xludf.DUMMYFUNCTION("""COMPUTED_VALUE"""),45860.66666666667)</f>
        <v>45860.66667</v>
      </c>
      <c r="B115" s="2">
        <f>IFERROR(__xludf.DUMMYFUNCTION("""COMPUTED_VALUE"""),171.34)</f>
        <v>171.34</v>
      </c>
      <c r="C115" s="1">
        <f>IFERROR(__xludf.DUMMYFUNCTION("""COMPUTED_VALUE"""),171.39)</f>
        <v>171.39</v>
      </c>
      <c r="D115" s="1">
        <f>IFERROR(__xludf.DUMMYFUNCTION("""COMPUTED_VALUE"""),164.58)</f>
        <v>164.58</v>
      </c>
      <c r="E115" s="1">
        <f>IFERROR(__xludf.DUMMYFUNCTION("""COMPUTED_VALUE"""),167.03)</f>
        <v>167.03</v>
      </c>
      <c r="F115" s="1">
        <f>IFERROR(__xludf.DUMMYFUNCTION("""COMPUTED_VALUE"""),1.93114327E8)</f>
        <v>193114327</v>
      </c>
    </row>
    <row r="116">
      <c r="A116" s="3">
        <f>IFERROR(__xludf.DUMMYFUNCTION("""COMPUTED_VALUE"""),45861.66666666667)</f>
        <v>45861.66667</v>
      </c>
      <c r="B116" s="2">
        <f>IFERROR(__xludf.DUMMYFUNCTION("""COMPUTED_VALUE"""),169.53)</f>
        <v>169.53</v>
      </c>
      <c r="C116" s="1">
        <f>IFERROR(__xludf.DUMMYFUNCTION("""COMPUTED_VALUE"""),171.26)</f>
        <v>171.26</v>
      </c>
      <c r="D116" s="1">
        <f>IFERROR(__xludf.DUMMYFUNCTION("""COMPUTED_VALUE"""),167.97)</f>
        <v>167.97</v>
      </c>
      <c r="E116" s="1">
        <f>IFERROR(__xludf.DUMMYFUNCTION("""COMPUTED_VALUE"""),170.78)</f>
        <v>170.78</v>
      </c>
      <c r="F116" s="1">
        <f>IFERROR(__xludf.DUMMYFUNCTION("""COMPUTED_VALUE"""),1.54082197E8)</f>
        <v>154082197</v>
      </c>
    </row>
    <row r="117">
      <c r="A117" s="3">
        <f>IFERROR(__xludf.DUMMYFUNCTION("""COMPUTED_VALUE"""),45862.66666666667)</f>
        <v>45862.66667</v>
      </c>
      <c r="B117" s="2">
        <f>IFERROR(__xludf.DUMMYFUNCTION("""COMPUTED_VALUE"""),172.44)</f>
        <v>172.44</v>
      </c>
      <c r="C117" s="1">
        <f>IFERROR(__xludf.DUMMYFUNCTION("""COMPUTED_VALUE"""),173.83)</f>
        <v>173.83</v>
      </c>
      <c r="D117" s="1">
        <f>IFERROR(__xludf.DUMMYFUNCTION("""COMPUTED_VALUE"""),171.3)</f>
        <v>171.3</v>
      </c>
      <c r="E117" s="1">
        <f>IFERROR(__xludf.DUMMYFUNCTION("""COMPUTED_VALUE"""),173.74)</f>
        <v>173.74</v>
      </c>
      <c r="F117" s="1">
        <f>IFERROR(__xludf.DUMMYFUNCTION("""COMPUTED_VALUE"""),1.28984628E8)</f>
        <v>128984628</v>
      </c>
    </row>
    <row r="118">
      <c r="A118" s="3">
        <f>IFERROR(__xludf.DUMMYFUNCTION("""COMPUTED_VALUE"""),45863.66666666667)</f>
        <v>45863.66667</v>
      </c>
      <c r="B118" s="2">
        <f>IFERROR(__xludf.DUMMYFUNCTION("""COMPUTED_VALUE"""),173.61)</f>
        <v>173.61</v>
      </c>
      <c r="C118" s="1">
        <f>IFERROR(__xludf.DUMMYFUNCTION("""COMPUTED_VALUE"""),174.72)</f>
        <v>174.72</v>
      </c>
      <c r="D118" s="1">
        <f>IFERROR(__xludf.DUMMYFUNCTION("""COMPUTED_VALUE"""),172.96)</f>
        <v>172.96</v>
      </c>
      <c r="E118" s="1">
        <f>IFERROR(__xludf.DUMMYFUNCTION("""COMPUTED_VALUE"""),173.5)</f>
        <v>173.5</v>
      </c>
      <c r="F118" s="1">
        <f>IFERROR(__xludf.DUMMYFUNCTION("""COMPUTED_VALUE"""),1.22316792E8)</f>
        <v>122316792</v>
      </c>
    </row>
    <row r="119">
      <c r="A119" s="3">
        <f>IFERROR(__xludf.DUMMYFUNCTION("""COMPUTED_VALUE"""),45866.66666666667)</f>
        <v>45866.66667</v>
      </c>
      <c r="B119" s="2">
        <f>IFERROR(__xludf.DUMMYFUNCTION("""COMPUTED_VALUE"""),174.02)</f>
        <v>174.02</v>
      </c>
      <c r="C119" s="1">
        <f>IFERROR(__xludf.DUMMYFUNCTION("""COMPUTED_VALUE"""),177.0)</f>
        <v>177</v>
      </c>
      <c r="D119" s="1">
        <f>IFERROR(__xludf.DUMMYFUNCTION("""COMPUTED_VALUE"""),173.97)</f>
        <v>173.97</v>
      </c>
      <c r="E119" s="1">
        <f>IFERROR(__xludf.DUMMYFUNCTION("""COMPUTED_VALUE"""),176.75)</f>
        <v>176.75</v>
      </c>
      <c r="F119" s="1">
        <f>IFERROR(__xludf.DUMMYFUNCTION("""COMPUTED_VALUE"""),1.40023521E8)</f>
        <v>140023521</v>
      </c>
    </row>
    <row r="120">
      <c r="A120" s="3">
        <f>IFERROR(__xludf.DUMMYFUNCTION("""COMPUTED_VALUE"""),45867.66666666667)</f>
        <v>45867.66667</v>
      </c>
      <c r="B120" s="2">
        <f>IFERROR(__xludf.DUMMYFUNCTION("""COMPUTED_VALUE"""),177.96)</f>
        <v>177.96</v>
      </c>
      <c r="C120" s="1">
        <f>IFERROR(__xludf.DUMMYFUNCTION("""COMPUTED_VALUE"""),179.38)</f>
        <v>179.38</v>
      </c>
      <c r="D120" s="1">
        <f>IFERROR(__xludf.DUMMYFUNCTION("""COMPUTED_VALUE"""),175.02)</f>
        <v>175.02</v>
      </c>
      <c r="E120" s="1">
        <f>IFERROR(__xludf.DUMMYFUNCTION("""COMPUTED_VALUE"""),175.51)</f>
        <v>175.51</v>
      </c>
      <c r="F120" s="1">
        <f>IFERROR(__xludf.DUMMYFUNCTION("""COMPUTED_VALUE"""),1.54077512E8)</f>
        <v>154077512</v>
      </c>
    </row>
    <row r="121">
      <c r="A121" s="3">
        <f>IFERROR(__xludf.DUMMYFUNCTION("""COMPUTED_VALUE"""),45868.66666666667)</f>
        <v>45868.66667</v>
      </c>
      <c r="B121" s="2">
        <f>IFERROR(__xludf.DUMMYFUNCTION("""COMPUTED_VALUE"""),176.51)</f>
        <v>176.51</v>
      </c>
      <c r="C121" s="1">
        <f>IFERROR(__xludf.DUMMYFUNCTION("""COMPUTED_VALUE"""),179.89)</f>
        <v>179.89</v>
      </c>
      <c r="D121" s="1">
        <f>IFERROR(__xludf.DUMMYFUNCTION("""COMPUTED_VALUE"""),176.04)</f>
        <v>176.04</v>
      </c>
      <c r="E121" s="1">
        <f>IFERROR(__xludf.DUMMYFUNCTION("""COMPUTED_VALUE"""),179.27)</f>
        <v>179.27</v>
      </c>
      <c r="F121" s="1">
        <f>IFERROR(__xludf.DUMMYFUNCTION("""COMPUTED_VALUE"""),1.74312208E8)</f>
        <v>174312208</v>
      </c>
    </row>
    <row r="122">
      <c r="A122" s="3">
        <f>IFERROR(__xludf.DUMMYFUNCTION("""COMPUTED_VALUE"""),45869.66666666667)</f>
        <v>45869.66667</v>
      </c>
      <c r="B122" s="2">
        <f>IFERROR(__xludf.DUMMYFUNCTION("""COMPUTED_VALUE"""),182.9)</f>
        <v>182.9</v>
      </c>
      <c r="C122" s="1">
        <f>IFERROR(__xludf.DUMMYFUNCTION("""COMPUTED_VALUE"""),183.3)</f>
        <v>183.3</v>
      </c>
      <c r="D122" s="1">
        <f>IFERROR(__xludf.DUMMYFUNCTION("""COMPUTED_VALUE"""),175.93)</f>
        <v>175.93</v>
      </c>
      <c r="E122" s="1">
        <f>IFERROR(__xludf.DUMMYFUNCTION("""COMPUTED_VALUE"""),177.87)</f>
        <v>177.87</v>
      </c>
      <c r="F122" s="1">
        <f>IFERROR(__xludf.DUMMYFUNCTION("""COMPUTED_VALUE"""),2.21685446E8)</f>
        <v>221685446</v>
      </c>
    </row>
    <row r="123">
      <c r="A123" s="3">
        <f>IFERROR(__xludf.DUMMYFUNCTION("""COMPUTED_VALUE"""),45870.66666666667)</f>
        <v>45870.66667</v>
      </c>
      <c r="B123" s="2">
        <f>IFERROR(__xludf.DUMMYFUNCTION("""COMPUTED_VALUE"""),174.09)</f>
        <v>174.09</v>
      </c>
      <c r="C123" s="1">
        <f>IFERROR(__xludf.DUMMYFUNCTION("""COMPUTED_VALUE"""),176.54)</f>
        <v>176.54</v>
      </c>
      <c r="D123" s="1">
        <f>IFERROR(__xludf.DUMMYFUNCTION("""COMPUTED_VALUE"""),170.89)</f>
        <v>170.89</v>
      </c>
      <c r="E123" s="1">
        <f>IFERROR(__xludf.DUMMYFUNCTION("""COMPUTED_VALUE"""),173.72)</f>
        <v>173.72</v>
      </c>
      <c r="F123" s="1">
        <f>IFERROR(__xludf.DUMMYFUNCTION("""COMPUTED_VALUE"""),2.04528985E8)</f>
        <v>204528985</v>
      </c>
    </row>
    <row r="124">
      <c r="A124" s="3">
        <f>IFERROR(__xludf.DUMMYFUNCTION("""COMPUTED_VALUE"""),45873.66666666667)</f>
        <v>45873.66667</v>
      </c>
      <c r="B124" s="2">
        <f>IFERROR(__xludf.DUMMYFUNCTION("""COMPUTED_VALUE"""),175.16)</f>
        <v>175.16</v>
      </c>
      <c r="C124" s="1">
        <f>IFERROR(__xludf.DUMMYFUNCTION("""COMPUTED_VALUE"""),180.2)</f>
        <v>180.2</v>
      </c>
      <c r="D124" s="1">
        <f>IFERROR(__xludf.DUMMYFUNCTION("""COMPUTED_VALUE"""),174.52)</f>
        <v>174.52</v>
      </c>
      <c r="E124" s="1">
        <f>IFERROR(__xludf.DUMMYFUNCTION("""COMPUTED_VALUE"""),180.0)</f>
        <v>180</v>
      </c>
      <c r="F124" s="1">
        <f>IFERROR(__xludf.DUMMYFUNCTION("""COMPUTED_VALUE"""),1.48174609E8)</f>
        <v>148174609</v>
      </c>
    </row>
    <row r="125">
      <c r="A125" s="3">
        <f>IFERROR(__xludf.DUMMYFUNCTION("""COMPUTED_VALUE"""),45874.66666666667)</f>
        <v>45874.66667</v>
      </c>
      <c r="B125" s="2">
        <f>IFERROR(__xludf.DUMMYFUNCTION("""COMPUTED_VALUE"""),179.62)</f>
        <v>179.62</v>
      </c>
      <c r="C125" s="1">
        <f>IFERROR(__xludf.DUMMYFUNCTION("""COMPUTED_VALUE"""),180.26)</f>
        <v>180.26</v>
      </c>
      <c r="D125" s="1">
        <f>IFERROR(__xludf.DUMMYFUNCTION("""COMPUTED_VALUE"""),175.9)</f>
        <v>175.9</v>
      </c>
      <c r="E125" s="1">
        <f>IFERROR(__xludf.DUMMYFUNCTION("""COMPUTED_VALUE"""),178.26)</f>
        <v>178.26</v>
      </c>
      <c r="F125" s="1">
        <f>IFERROR(__xludf.DUMMYFUNCTION("""COMPUTED_VALUE"""),1.56407621E8)</f>
        <v>156407621</v>
      </c>
    </row>
    <row r="126">
      <c r="A126" s="3">
        <f>IFERROR(__xludf.DUMMYFUNCTION("""COMPUTED_VALUE"""),45875.66666666667)</f>
        <v>45875.66667</v>
      </c>
      <c r="B126" s="2">
        <f>IFERROR(__xludf.DUMMYFUNCTION("""COMPUTED_VALUE"""),176.33)</f>
        <v>176.33</v>
      </c>
      <c r="C126" s="1">
        <f>IFERROR(__xludf.DUMMYFUNCTION("""COMPUTED_VALUE"""),179.9)</f>
        <v>179.9</v>
      </c>
      <c r="D126" s="1">
        <f>IFERROR(__xludf.DUMMYFUNCTION("""COMPUTED_VALUE"""),176.25)</f>
        <v>176.25</v>
      </c>
      <c r="E126" s="1">
        <f>IFERROR(__xludf.DUMMYFUNCTION("""COMPUTED_VALUE"""),179.42)</f>
        <v>179.42</v>
      </c>
      <c r="F126" s="1">
        <f>IFERROR(__xludf.DUMMYFUNCTION("""COMPUTED_VALUE"""),1.37192265E8)</f>
        <v>137192265</v>
      </c>
    </row>
    <row r="127">
      <c r="A127" s="3">
        <f>IFERROR(__xludf.DUMMYFUNCTION("""COMPUTED_VALUE"""),45876.66666666667)</f>
        <v>45876.66667</v>
      </c>
      <c r="B127" s="2">
        <f>IFERROR(__xludf.DUMMYFUNCTION("""COMPUTED_VALUE"""),181.57)</f>
        <v>181.57</v>
      </c>
      <c r="C127" s="1">
        <f>IFERROR(__xludf.DUMMYFUNCTION("""COMPUTED_VALUE"""),183.88)</f>
        <v>183.88</v>
      </c>
      <c r="D127" s="1">
        <f>IFERROR(__xludf.DUMMYFUNCTION("""COMPUTED_VALUE"""),178.8)</f>
        <v>178.8</v>
      </c>
      <c r="E127" s="1">
        <f>IFERROR(__xludf.DUMMYFUNCTION("""COMPUTED_VALUE"""),180.77)</f>
        <v>180.77</v>
      </c>
      <c r="F127" s="1">
        <f>IFERROR(__xludf.DUMMYFUNCTION("""COMPUTED_VALUE"""),1.51878365E8)</f>
        <v>151878365</v>
      </c>
    </row>
    <row r="128">
      <c r="A128" s="3">
        <f>IFERROR(__xludf.DUMMYFUNCTION("""COMPUTED_VALUE"""),45877.66666666667)</f>
        <v>45877.66667</v>
      </c>
      <c r="B128" s="2">
        <f>IFERROR(__xludf.DUMMYFUNCTION("""COMPUTED_VALUE"""),181.55)</f>
        <v>181.55</v>
      </c>
      <c r="C128" s="1">
        <f>IFERROR(__xludf.DUMMYFUNCTION("""COMPUTED_VALUE"""),183.3)</f>
        <v>183.3</v>
      </c>
      <c r="D128" s="1">
        <f>IFERROR(__xludf.DUMMYFUNCTION("""COMPUTED_VALUE"""),180.4)</f>
        <v>180.4</v>
      </c>
      <c r="E128" s="1">
        <f>IFERROR(__xludf.DUMMYFUNCTION("""COMPUTED_VALUE"""),182.7)</f>
        <v>182.7</v>
      </c>
      <c r="F128" s="1">
        <f>IFERROR(__xludf.DUMMYFUNCTION("""COMPUTED_VALUE"""),1.23396679E8)</f>
        <v>123396679</v>
      </c>
    </row>
    <row r="129">
      <c r="A129" s="3">
        <f>IFERROR(__xludf.DUMMYFUNCTION("""COMPUTED_VALUE"""),45880.66666666667)</f>
        <v>45880.66667</v>
      </c>
      <c r="B129" s="2">
        <f>IFERROR(__xludf.DUMMYFUNCTION("""COMPUTED_VALUE"""),182.05)</f>
        <v>182.05</v>
      </c>
      <c r="C129" s="1">
        <f>IFERROR(__xludf.DUMMYFUNCTION("""COMPUTED_VALUE"""),183.84)</f>
        <v>183.84</v>
      </c>
      <c r="D129" s="1">
        <f>IFERROR(__xludf.DUMMYFUNCTION("""COMPUTED_VALUE"""),180.25)</f>
        <v>180.25</v>
      </c>
      <c r="E129" s="1">
        <f>IFERROR(__xludf.DUMMYFUNCTION("""COMPUTED_VALUE"""),182.06)</f>
        <v>182.06</v>
      </c>
      <c r="F129" s="1">
        <f>IFERROR(__xludf.DUMMYFUNCTION("""COMPUTED_VALUE"""),1.38323191E8)</f>
        <v>138323191</v>
      </c>
    </row>
    <row r="130">
      <c r="A130" s="3">
        <f>IFERROR(__xludf.DUMMYFUNCTION("""COMPUTED_VALUE"""),45881.66666666667)</f>
        <v>45881.66667</v>
      </c>
      <c r="B130" s="2">
        <f>IFERROR(__xludf.DUMMYFUNCTION("""COMPUTED_VALUE"""),182.96)</f>
        <v>182.96</v>
      </c>
      <c r="C130" s="1">
        <f>IFERROR(__xludf.DUMMYFUNCTION("""COMPUTED_VALUE"""),184.48)</f>
        <v>184.48</v>
      </c>
      <c r="D130" s="1">
        <f>IFERROR(__xludf.DUMMYFUNCTION("""COMPUTED_VALUE"""),179.46)</f>
        <v>179.46</v>
      </c>
      <c r="E130" s="1">
        <f>IFERROR(__xludf.DUMMYFUNCTION("""COMPUTED_VALUE"""),183.16)</f>
        <v>183.16</v>
      </c>
      <c r="F130" s="1">
        <f>IFERROR(__xludf.DUMMYFUNCTION("""COMPUTED_VALUE"""),1.45729202E8)</f>
        <v>145729202</v>
      </c>
    </row>
    <row r="131">
      <c r="A131" s="3">
        <f>IFERROR(__xludf.DUMMYFUNCTION("""COMPUTED_VALUE"""),45882.66666666667)</f>
        <v>45882.66667</v>
      </c>
      <c r="B131" s="2">
        <f>IFERROR(__xludf.DUMMYFUNCTION("""COMPUTED_VALUE"""),182.62)</f>
        <v>182.62</v>
      </c>
      <c r="C131" s="1">
        <f>IFERROR(__xludf.DUMMYFUNCTION("""COMPUTED_VALUE"""),183.97)</f>
        <v>183.97</v>
      </c>
      <c r="D131" s="1">
        <f>IFERROR(__xludf.DUMMYFUNCTION("""COMPUTED_VALUE"""),179.35)</f>
        <v>179.35</v>
      </c>
      <c r="E131" s="1">
        <f>IFERROR(__xludf.DUMMYFUNCTION("""COMPUTED_VALUE"""),181.59)</f>
        <v>181.59</v>
      </c>
      <c r="F131" s="1">
        <f>IFERROR(__xludf.DUMMYFUNCTION("""COMPUTED_VALUE"""),1.79871724E8)</f>
        <v>179871724</v>
      </c>
    </row>
    <row r="132">
      <c r="A132" s="3">
        <f>IFERROR(__xludf.DUMMYFUNCTION("""COMPUTED_VALUE"""),45883.66666666667)</f>
        <v>45883.66667</v>
      </c>
      <c r="B132" s="2">
        <f>IFERROR(__xludf.DUMMYFUNCTION("""COMPUTED_VALUE"""),179.75)</f>
        <v>179.75</v>
      </c>
      <c r="C132" s="1">
        <f>IFERROR(__xludf.DUMMYFUNCTION("""COMPUTED_VALUE"""),183.02)</f>
        <v>183.02</v>
      </c>
      <c r="D132" s="1">
        <f>IFERROR(__xludf.DUMMYFUNCTION("""COMPUTED_VALUE"""),179.46)</f>
        <v>179.46</v>
      </c>
      <c r="E132" s="1">
        <f>IFERROR(__xludf.DUMMYFUNCTION("""COMPUTED_VALUE"""),182.02)</f>
        <v>182.02</v>
      </c>
      <c r="F132" s="1">
        <f>IFERROR(__xludf.DUMMYFUNCTION("""COMPUTED_VALUE"""),1.29553959E8)</f>
        <v>129553959</v>
      </c>
    </row>
    <row r="133">
      <c r="A133" s="3">
        <f>IFERROR(__xludf.DUMMYFUNCTION("""COMPUTED_VALUE"""),45884.66666666667)</f>
        <v>45884.66667</v>
      </c>
      <c r="B133" s="2">
        <f>IFERROR(__xludf.DUMMYFUNCTION("""COMPUTED_VALUE"""),181.88)</f>
        <v>181.88</v>
      </c>
      <c r="C133" s="1">
        <f>IFERROR(__xludf.DUMMYFUNCTION("""COMPUTED_VALUE"""),181.9)</f>
        <v>181.9</v>
      </c>
      <c r="D133" s="1">
        <f>IFERROR(__xludf.DUMMYFUNCTION("""COMPUTED_VALUE"""),178.04)</f>
        <v>178.04</v>
      </c>
      <c r="E133" s="1">
        <f>IFERROR(__xludf.DUMMYFUNCTION("""COMPUTED_VALUE"""),180.45)</f>
        <v>180.45</v>
      </c>
      <c r="F133" s="1">
        <f>IFERROR(__xludf.DUMMYFUNCTION("""COMPUTED_VALUE"""),1.56602161E8)</f>
        <v>156602161</v>
      </c>
    </row>
    <row r="134">
      <c r="A134" s="3">
        <f>IFERROR(__xludf.DUMMYFUNCTION("""COMPUTED_VALUE"""),45887.66666666667)</f>
        <v>45887.66667</v>
      </c>
      <c r="B134" s="2">
        <f>IFERROR(__xludf.DUMMYFUNCTION("""COMPUTED_VALUE"""),180.6)</f>
        <v>180.6</v>
      </c>
      <c r="C134" s="1">
        <f>IFERROR(__xludf.DUMMYFUNCTION("""COMPUTED_VALUE"""),182.94)</f>
        <v>182.94</v>
      </c>
      <c r="D134" s="1">
        <f>IFERROR(__xludf.DUMMYFUNCTION("""COMPUTED_VALUE"""),180.59)</f>
        <v>180.59</v>
      </c>
      <c r="E134" s="1">
        <f>IFERROR(__xludf.DUMMYFUNCTION("""COMPUTED_VALUE"""),182.01)</f>
        <v>182.01</v>
      </c>
      <c r="F134" s="1">
        <f>IFERROR(__xludf.DUMMYFUNCTION("""COMPUTED_VALUE"""),1.32007959E8)</f>
        <v>132007959</v>
      </c>
    </row>
    <row r="135">
      <c r="A135" s="3">
        <f>IFERROR(__xludf.DUMMYFUNCTION("""COMPUTED_VALUE"""),45888.66666666667)</f>
        <v>45888.66667</v>
      </c>
      <c r="B135" s="2">
        <f>IFERROR(__xludf.DUMMYFUNCTION("""COMPUTED_VALUE"""),182.43)</f>
        <v>182.43</v>
      </c>
      <c r="C135" s="1">
        <f>IFERROR(__xludf.DUMMYFUNCTION("""COMPUTED_VALUE"""),182.5)</f>
        <v>182.5</v>
      </c>
      <c r="D135" s="1">
        <f>IFERROR(__xludf.DUMMYFUNCTION("""COMPUTED_VALUE"""),175.49)</f>
        <v>175.49</v>
      </c>
      <c r="E135" s="1">
        <f>IFERROR(__xludf.DUMMYFUNCTION("""COMPUTED_VALUE"""),175.64)</f>
        <v>175.64</v>
      </c>
      <c r="F135" s="1">
        <f>IFERROR(__xludf.DUMMYFUNCTION("""COMPUTED_VALUE"""),1.85229219E8)</f>
        <v>185229219</v>
      </c>
    </row>
    <row r="136">
      <c r="A136" s="3">
        <f>IFERROR(__xludf.DUMMYFUNCTION("""COMPUTED_VALUE"""),45889.66666666667)</f>
        <v>45889.66667</v>
      </c>
      <c r="B136" s="2">
        <f>IFERROR(__xludf.DUMMYFUNCTION("""COMPUTED_VALUE"""),175.17)</f>
        <v>175.17</v>
      </c>
      <c r="C136" s="1">
        <f>IFERROR(__xludf.DUMMYFUNCTION("""COMPUTED_VALUE"""),176.0)</f>
        <v>176</v>
      </c>
      <c r="D136" s="1">
        <f>IFERROR(__xludf.DUMMYFUNCTION("""COMPUTED_VALUE"""),168.8)</f>
        <v>168.8</v>
      </c>
      <c r="E136" s="1">
        <f>IFERROR(__xludf.DUMMYFUNCTION("""COMPUTED_VALUE"""),175.4)</f>
        <v>175.4</v>
      </c>
      <c r="F136" s="1">
        <f>IFERROR(__xludf.DUMMYFUNCTION("""COMPUTED_VALUE"""),2.15142725E8)</f>
        <v>215142725</v>
      </c>
    </row>
    <row r="137">
      <c r="A137" s="3">
        <f>IFERROR(__xludf.DUMMYFUNCTION("""COMPUTED_VALUE"""),45890.66666666667)</f>
        <v>45890.66667</v>
      </c>
      <c r="B137" s="2">
        <f>IFERROR(__xludf.DUMMYFUNCTION("""COMPUTED_VALUE"""),174.85)</f>
        <v>174.85</v>
      </c>
      <c r="C137" s="1">
        <f>IFERROR(__xludf.DUMMYFUNCTION("""COMPUTED_VALUE"""),176.9)</f>
        <v>176.9</v>
      </c>
      <c r="D137" s="1">
        <f>IFERROR(__xludf.DUMMYFUNCTION("""COMPUTED_VALUE"""),173.81)</f>
        <v>173.81</v>
      </c>
      <c r="E137" s="1">
        <f>IFERROR(__xludf.DUMMYFUNCTION("""COMPUTED_VALUE"""),174.98)</f>
        <v>174.98</v>
      </c>
      <c r="F137" s="1">
        <f>IFERROR(__xludf.DUMMYFUNCTION("""COMPUTED_VALUE"""),1.4004085E8)</f>
        <v>140040850</v>
      </c>
    </row>
    <row r="138">
      <c r="A138" s="3">
        <f>IFERROR(__xludf.DUMMYFUNCTION("""COMPUTED_VALUE"""),45891.66666666667)</f>
        <v>45891.66667</v>
      </c>
      <c r="B138" s="2">
        <f>IFERROR(__xludf.DUMMYFUNCTION("""COMPUTED_VALUE"""),172.61)</f>
        <v>172.61</v>
      </c>
      <c r="C138" s="1">
        <f>IFERROR(__xludf.DUMMYFUNCTION("""COMPUTED_VALUE"""),178.59)</f>
        <v>178.59</v>
      </c>
      <c r="D138" s="1">
        <f>IFERROR(__xludf.DUMMYFUNCTION("""COMPUTED_VALUE"""),171.2)</f>
        <v>171.2</v>
      </c>
      <c r="E138" s="1">
        <f>IFERROR(__xludf.DUMMYFUNCTION("""COMPUTED_VALUE"""),177.99)</f>
        <v>177.99</v>
      </c>
      <c r="F138" s="1">
        <f>IFERROR(__xludf.DUMMYFUNCTION("""COMPUTED_VALUE"""),1.72789427E8)</f>
        <v>172789427</v>
      </c>
    </row>
    <row r="139">
      <c r="A139" s="3">
        <f>IFERROR(__xludf.DUMMYFUNCTION("""COMPUTED_VALUE"""),45894.66666666667)</f>
        <v>45894.66667</v>
      </c>
      <c r="B139" s="2">
        <f>IFERROR(__xludf.DUMMYFUNCTION("""COMPUTED_VALUE"""),178.35)</f>
        <v>178.35</v>
      </c>
      <c r="C139" s="1">
        <f>IFERROR(__xludf.DUMMYFUNCTION("""COMPUTED_VALUE"""),181.91)</f>
        <v>181.91</v>
      </c>
      <c r="D139" s="1">
        <f>IFERROR(__xludf.DUMMYFUNCTION("""COMPUTED_VALUE"""),176.57)</f>
        <v>176.57</v>
      </c>
      <c r="E139" s="1">
        <f>IFERROR(__xludf.DUMMYFUNCTION("""COMPUTED_VALUE"""),179.81)</f>
        <v>179.81</v>
      </c>
      <c r="F139" s="1">
        <f>IFERROR(__xludf.DUMMYFUNCTION("""COMPUTED_VALUE"""),1.63012789E8)</f>
        <v>163012789</v>
      </c>
    </row>
    <row r="140">
      <c r="A140" s="3">
        <f>IFERROR(__xludf.DUMMYFUNCTION("""COMPUTED_VALUE"""),45895.66666666667)</f>
        <v>45895.66667</v>
      </c>
      <c r="B140" s="2">
        <f>IFERROR(__xludf.DUMMYFUNCTION("""COMPUTED_VALUE"""),180.06)</f>
        <v>180.06</v>
      </c>
      <c r="C140" s="1">
        <f>IFERROR(__xludf.DUMMYFUNCTION("""COMPUTED_VALUE"""),182.39)</f>
        <v>182.39</v>
      </c>
      <c r="D140" s="1">
        <f>IFERROR(__xludf.DUMMYFUNCTION("""COMPUTED_VALUE"""),178.81)</f>
        <v>178.81</v>
      </c>
      <c r="E140" s="1">
        <f>IFERROR(__xludf.DUMMYFUNCTION("""COMPUTED_VALUE"""),181.77)</f>
        <v>181.77</v>
      </c>
      <c r="F140" s="1">
        <f>IFERROR(__xludf.DUMMYFUNCTION("""COMPUTED_VALUE"""),1.68688186E8)</f>
        <v>168688186</v>
      </c>
    </row>
    <row r="141">
      <c r="A141" s="3">
        <f>IFERROR(__xludf.DUMMYFUNCTION("""COMPUTED_VALUE"""),45896.66666666667)</f>
        <v>45896.66667</v>
      </c>
      <c r="B141" s="2">
        <f>IFERROR(__xludf.DUMMYFUNCTION("""COMPUTED_VALUE"""),181.98)</f>
        <v>181.98</v>
      </c>
      <c r="C141" s="1">
        <f>IFERROR(__xludf.DUMMYFUNCTION("""COMPUTED_VALUE"""),182.49)</f>
        <v>182.49</v>
      </c>
      <c r="D141" s="1">
        <f>IFERROR(__xludf.DUMMYFUNCTION("""COMPUTED_VALUE"""),179.1)</f>
        <v>179.1</v>
      </c>
      <c r="E141" s="1">
        <f>IFERROR(__xludf.DUMMYFUNCTION("""COMPUTED_VALUE"""),181.6)</f>
        <v>181.6</v>
      </c>
      <c r="F141" s="1">
        <f>IFERROR(__xludf.DUMMYFUNCTION("""COMPUTED_VALUE"""),2.35518949E8)</f>
        <v>235518949</v>
      </c>
    </row>
    <row r="142">
      <c r="A142" s="3">
        <f>IFERROR(__xludf.DUMMYFUNCTION("""COMPUTED_VALUE"""),45897.66666666667)</f>
        <v>45897.66667</v>
      </c>
      <c r="B142" s="2">
        <f>IFERROR(__xludf.DUMMYFUNCTION("""COMPUTED_VALUE"""),180.82)</f>
        <v>180.82</v>
      </c>
      <c r="C142" s="1">
        <f>IFERROR(__xludf.DUMMYFUNCTION("""COMPUTED_VALUE"""),184.47)</f>
        <v>184.47</v>
      </c>
      <c r="D142" s="1">
        <f>IFERROR(__xludf.DUMMYFUNCTION("""COMPUTED_VALUE"""),176.41)</f>
        <v>176.41</v>
      </c>
      <c r="E142" s="1">
        <f>IFERROR(__xludf.DUMMYFUNCTION("""COMPUTED_VALUE"""),180.17)</f>
        <v>180.17</v>
      </c>
      <c r="F142" s="1">
        <f>IFERROR(__xludf.DUMMYFUNCTION("""COMPUTED_VALUE"""),2.81787824E8)</f>
        <v>281787824</v>
      </c>
    </row>
    <row r="143">
      <c r="A143" s="3">
        <f>IFERROR(__xludf.DUMMYFUNCTION("""COMPUTED_VALUE"""),45898.66666666667)</f>
        <v>45898.66667</v>
      </c>
      <c r="B143" s="2">
        <f>IFERROR(__xludf.DUMMYFUNCTION("""COMPUTED_VALUE"""),178.11)</f>
        <v>178.11</v>
      </c>
      <c r="C143" s="1">
        <f>IFERROR(__xludf.DUMMYFUNCTION("""COMPUTED_VALUE"""),178.15)</f>
        <v>178.15</v>
      </c>
      <c r="D143" s="1">
        <f>IFERROR(__xludf.DUMMYFUNCTION("""COMPUTED_VALUE"""),173.15)</f>
        <v>173.15</v>
      </c>
      <c r="E143" s="1">
        <f>IFERROR(__xludf.DUMMYFUNCTION("""COMPUTED_VALUE"""),174.18)</f>
        <v>174.18</v>
      </c>
      <c r="F143" s="1">
        <f>IFERROR(__xludf.DUMMYFUNCTION("""COMPUTED_VALUE"""),2.43257873E8)</f>
        <v>243257873</v>
      </c>
    </row>
    <row r="144">
      <c r="A144" s="3">
        <f>IFERROR(__xludf.DUMMYFUNCTION("""COMPUTED_VALUE"""),45902.66666666667)</f>
        <v>45902.66667</v>
      </c>
      <c r="B144" s="2">
        <f>IFERROR(__xludf.DUMMYFUNCTION("""COMPUTED_VALUE"""),170.0)</f>
        <v>170</v>
      </c>
      <c r="C144" s="1">
        <f>IFERROR(__xludf.DUMMYFUNCTION("""COMPUTED_VALUE"""),172.38)</f>
        <v>172.38</v>
      </c>
      <c r="D144" s="1">
        <f>IFERROR(__xludf.DUMMYFUNCTION("""COMPUTED_VALUE"""),167.22)</f>
        <v>167.22</v>
      </c>
      <c r="E144" s="1">
        <f>IFERROR(__xludf.DUMMYFUNCTION("""COMPUTED_VALUE"""),170.78)</f>
        <v>170.78</v>
      </c>
      <c r="F144" s="1">
        <f>IFERROR(__xludf.DUMMYFUNCTION("""COMPUTED_VALUE"""),2.31164853E8)</f>
        <v>231164853</v>
      </c>
    </row>
    <row r="145">
      <c r="A145" s="3">
        <f>IFERROR(__xludf.DUMMYFUNCTION("""COMPUTED_VALUE"""),45903.66666666667)</f>
        <v>45903.66667</v>
      </c>
      <c r="B145" s="2">
        <f>IFERROR(__xludf.DUMMYFUNCTION("""COMPUTED_VALUE"""),171.06)</f>
        <v>171.06</v>
      </c>
      <c r="C145" s="1">
        <f>IFERROR(__xludf.DUMMYFUNCTION("""COMPUTED_VALUE"""),172.41)</f>
        <v>172.41</v>
      </c>
      <c r="D145" s="1">
        <f>IFERROR(__xludf.DUMMYFUNCTION("""COMPUTED_VALUE"""),168.88)</f>
        <v>168.88</v>
      </c>
      <c r="E145" s="1">
        <f>IFERROR(__xludf.DUMMYFUNCTION("""COMPUTED_VALUE"""),170.62)</f>
        <v>170.62</v>
      </c>
      <c r="F145" s="1">
        <f>IFERROR(__xludf.DUMMYFUNCTION("""COMPUTED_VALUE"""),1.64424873E8)</f>
        <v>164424873</v>
      </c>
    </row>
    <row r="146">
      <c r="A146" s="3">
        <f>IFERROR(__xludf.DUMMYFUNCTION("""COMPUTED_VALUE"""),45904.66666666667)</f>
        <v>45904.66667</v>
      </c>
      <c r="B146" s="2">
        <f>IFERROR(__xludf.DUMMYFUNCTION("""COMPUTED_VALUE"""),170.57)</f>
        <v>170.57</v>
      </c>
      <c r="C146" s="1">
        <f>IFERROR(__xludf.DUMMYFUNCTION("""COMPUTED_VALUE"""),171.86)</f>
        <v>171.86</v>
      </c>
      <c r="D146" s="1">
        <f>IFERROR(__xludf.DUMMYFUNCTION("""COMPUTED_VALUE"""),169.41)</f>
        <v>169.41</v>
      </c>
      <c r="E146" s="1">
        <f>IFERROR(__xludf.DUMMYFUNCTION("""COMPUTED_VALUE"""),171.66)</f>
        <v>171.66</v>
      </c>
      <c r="F146" s="1">
        <f>IFERROR(__xludf.DUMMYFUNCTION("""COMPUTED_VALUE"""),1.41670144E8)</f>
        <v>141670144</v>
      </c>
    </row>
    <row r="147">
      <c r="A147" s="3">
        <f>IFERROR(__xludf.DUMMYFUNCTION("""COMPUTED_VALUE"""),45905.66666666667)</f>
        <v>45905.66667</v>
      </c>
      <c r="B147" s="2">
        <f>IFERROR(__xludf.DUMMYFUNCTION("""COMPUTED_VALUE"""),168.03)</f>
        <v>168.03</v>
      </c>
      <c r="C147" s="1">
        <f>IFERROR(__xludf.DUMMYFUNCTION("""COMPUTED_VALUE"""),169.03)</f>
        <v>169.03</v>
      </c>
      <c r="D147" s="1">
        <f>IFERROR(__xludf.DUMMYFUNCTION("""COMPUTED_VALUE"""),164.07)</f>
        <v>164.07</v>
      </c>
      <c r="E147" s="1">
        <f>IFERROR(__xludf.DUMMYFUNCTION("""COMPUTED_VALUE"""),167.02)</f>
        <v>167.02</v>
      </c>
      <c r="F147" s="1">
        <f>IFERROR(__xludf.DUMMYFUNCTION("""COMPUTED_VALUE"""),2.24441435E8)</f>
        <v>224441435</v>
      </c>
    </row>
    <row r="148">
      <c r="A148" s="3">
        <f>IFERROR(__xludf.DUMMYFUNCTION("""COMPUTED_VALUE"""),45908.66666666667)</f>
        <v>45908.66667</v>
      </c>
      <c r="B148" s="2">
        <f>IFERROR(__xludf.DUMMYFUNCTION("""COMPUTED_VALUE"""),167.55)</f>
        <v>167.55</v>
      </c>
      <c r="C148" s="1">
        <f>IFERROR(__xludf.DUMMYFUNCTION("""COMPUTED_VALUE"""),170.96)</f>
        <v>170.96</v>
      </c>
      <c r="D148" s="1">
        <f>IFERROR(__xludf.DUMMYFUNCTION("""COMPUTED_VALUE"""),167.35)</f>
        <v>167.35</v>
      </c>
      <c r="E148" s="1">
        <f>IFERROR(__xludf.DUMMYFUNCTION("""COMPUTED_VALUE"""),168.31)</f>
        <v>168.31</v>
      </c>
      <c r="F148" s="1">
        <f>IFERROR(__xludf.DUMMYFUNCTION("""COMPUTED_VALUE"""),1.63769133E8)</f>
        <v>163769133</v>
      </c>
    </row>
    <row r="149">
      <c r="A149" s="3">
        <f>IFERROR(__xludf.DUMMYFUNCTION("""COMPUTED_VALUE"""),45909.66666666667)</f>
        <v>45909.66667</v>
      </c>
      <c r="B149" s="2">
        <f>IFERROR(__xludf.DUMMYFUNCTION("""COMPUTED_VALUE"""),169.09)</f>
        <v>169.09</v>
      </c>
      <c r="C149" s="1">
        <f>IFERROR(__xludf.DUMMYFUNCTION("""COMPUTED_VALUE"""),170.98)</f>
        <v>170.98</v>
      </c>
      <c r="D149" s="1">
        <f>IFERROR(__xludf.DUMMYFUNCTION("""COMPUTED_VALUE"""),166.74)</f>
        <v>166.74</v>
      </c>
      <c r="E149" s="1">
        <f>IFERROR(__xludf.DUMMYFUNCTION("""COMPUTED_VALUE"""),170.76)</f>
        <v>170.76</v>
      </c>
      <c r="F149" s="1">
        <f>IFERROR(__xludf.DUMMYFUNCTION("""COMPUTED_VALUE"""),1.57548392E8)</f>
        <v>157548392</v>
      </c>
    </row>
    <row r="150">
      <c r="A150" s="3">
        <f>IFERROR(__xludf.DUMMYFUNCTION("""COMPUTED_VALUE"""),45910.66666666667)</f>
        <v>45910.66667</v>
      </c>
      <c r="B150" s="2">
        <f>IFERROR(__xludf.DUMMYFUNCTION("""COMPUTED_VALUE"""),176.64)</f>
        <v>176.64</v>
      </c>
      <c r="C150" s="1">
        <f>IFERROR(__xludf.DUMMYFUNCTION("""COMPUTED_VALUE"""),179.29)</f>
        <v>179.29</v>
      </c>
      <c r="D150" s="1">
        <f>IFERROR(__xludf.DUMMYFUNCTION("""COMPUTED_VALUE"""),175.47)</f>
        <v>175.47</v>
      </c>
      <c r="E150" s="1">
        <f>IFERROR(__xludf.DUMMYFUNCTION("""COMPUTED_VALUE"""),177.33)</f>
        <v>177.33</v>
      </c>
      <c r="F150" s="1">
        <f>IFERROR(__xludf.DUMMYFUNCTION("""COMPUTED_VALUE"""),2.2685202E8)</f>
        <v>226852020</v>
      </c>
    </row>
    <row r="151">
      <c r="A151" s="3">
        <f>IFERROR(__xludf.DUMMYFUNCTION("""COMPUTED_VALUE"""),45911.66666666667)</f>
        <v>45911.66667</v>
      </c>
      <c r="B151" s="2">
        <f>IFERROR(__xludf.DUMMYFUNCTION("""COMPUTED_VALUE"""),179.68)</f>
        <v>179.68</v>
      </c>
      <c r="C151" s="1">
        <f>IFERROR(__xludf.DUMMYFUNCTION("""COMPUTED_VALUE"""),180.28)</f>
        <v>180.28</v>
      </c>
      <c r="D151" s="1">
        <f>IFERROR(__xludf.DUMMYFUNCTION("""COMPUTED_VALUE"""),176.48)</f>
        <v>176.48</v>
      </c>
      <c r="E151" s="1">
        <f>IFERROR(__xludf.DUMMYFUNCTION("""COMPUTED_VALUE"""),177.17)</f>
        <v>177.17</v>
      </c>
      <c r="F151" s="1">
        <f>IFERROR(__xludf.DUMMYFUNCTION("""COMPUTED_VALUE"""),1.51159274E8)</f>
        <v>151159274</v>
      </c>
    </row>
    <row r="152">
      <c r="A152" s="3">
        <f>IFERROR(__xludf.DUMMYFUNCTION("""COMPUTED_VALUE"""),45912.66666666667)</f>
        <v>45912.66667</v>
      </c>
      <c r="B152" s="2">
        <f>IFERROR(__xludf.DUMMYFUNCTION("""COMPUTED_VALUE"""),177.77)</f>
        <v>177.77</v>
      </c>
      <c r="C152" s="1">
        <f>IFERROR(__xludf.DUMMYFUNCTION("""COMPUTED_VALUE"""),178.6)</f>
        <v>178.6</v>
      </c>
      <c r="D152" s="1">
        <f>IFERROR(__xludf.DUMMYFUNCTION("""COMPUTED_VALUE"""),176.45)</f>
        <v>176.45</v>
      </c>
      <c r="E152" s="1">
        <f>IFERROR(__xludf.DUMMYFUNCTION("""COMPUTED_VALUE"""),177.82)</f>
        <v>177.82</v>
      </c>
      <c r="F152" s="1">
        <f>IFERROR(__xludf.DUMMYFUNCTION("""COMPUTED_VALUE"""),1.24911026E8)</f>
        <v>124911026</v>
      </c>
    </row>
    <row r="153">
      <c r="A153" s="3">
        <f>IFERROR(__xludf.DUMMYFUNCTION("""COMPUTED_VALUE"""),45915.66666666667)</f>
        <v>45915.66667</v>
      </c>
      <c r="B153" s="2">
        <f>IFERROR(__xludf.DUMMYFUNCTION("""COMPUTED_VALUE"""),175.67)</f>
        <v>175.67</v>
      </c>
      <c r="C153" s="1">
        <f>IFERROR(__xludf.DUMMYFUNCTION("""COMPUTED_VALUE"""),178.85)</f>
        <v>178.85</v>
      </c>
      <c r="D153" s="1">
        <f>IFERROR(__xludf.DUMMYFUNCTION("""COMPUTED_VALUE"""),174.51)</f>
        <v>174.51</v>
      </c>
      <c r="E153" s="1">
        <f>IFERROR(__xludf.DUMMYFUNCTION("""COMPUTED_VALUE"""),177.75)</f>
        <v>177.75</v>
      </c>
      <c r="F153" s="1">
        <f>IFERROR(__xludf.DUMMYFUNCTION("""COMPUTED_VALUE"""),1.47061559E8)</f>
        <v>147061559</v>
      </c>
    </row>
    <row r="154">
      <c r="A154" s="3">
        <f>IFERROR(__xludf.DUMMYFUNCTION("""COMPUTED_VALUE"""),45916.66666666667)</f>
        <v>45916.66667</v>
      </c>
      <c r="B154" s="2">
        <f>IFERROR(__xludf.DUMMYFUNCTION("""COMPUTED_VALUE"""),177.0)</f>
        <v>177</v>
      </c>
      <c r="C154" s="1">
        <f>IFERROR(__xludf.DUMMYFUNCTION("""COMPUTED_VALUE"""),177.5)</f>
        <v>177.5</v>
      </c>
      <c r="D154" s="1">
        <f>IFERROR(__xludf.DUMMYFUNCTION("""COMPUTED_VALUE"""),174.38)</f>
        <v>174.38</v>
      </c>
      <c r="E154" s="1">
        <f>IFERROR(__xludf.DUMMYFUNCTION("""COMPUTED_VALUE"""),174.88)</f>
        <v>174.88</v>
      </c>
      <c r="F154" s="1">
        <f>IFERROR(__xludf.DUMMYFUNCTION("""COMPUTED_VALUE"""),1.40737775E8)</f>
        <v>140737775</v>
      </c>
    </row>
    <row r="155">
      <c r="A155" s="3">
        <f>IFERROR(__xludf.DUMMYFUNCTION("""COMPUTED_VALUE"""),45917.66666666667)</f>
        <v>45917.66667</v>
      </c>
      <c r="B155" s="2">
        <f>IFERROR(__xludf.DUMMYFUNCTION("""COMPUTED_VALUE"""),172.64)</f>
        <v>172.64</v>
      </c>
      <c r="C155" s="1">
        <f>IFERROR(__xludf.DUMMYFUNCTION("""COMPUTED_VALUE"""),173.2)</f>
        <v>173.2</v>
      </c>
      <c r="D155" s="1">
        <f>IFERROR(__xludf.DUMMYFUNCTION("""COMPUTED_VALUE"""),168.41)</f>
        <v>168.41</v>
      </c>
      <c r="E155" s="1">
        <f>IFERROR(__xludf.DUMMYFUNCTION("""COMPUTED_VALUE"""),170.29)</f>
        <v>170.29</v>
      </c>
      <c r="F155" s="1">
        <f>IFERROR(__xludf.DUMMYFUNCTION("""COMPUTED_VALUE"""),2.11843817E8)</f>
        <v>211843817</v>
      </c>
    </row>
    <row r="156">
      <c r="A156" s="3">
        <f>IFERROR(__xludf.DUMMYFUNCTION("""COMPUTED_VALUE"""),45918.66666666667)</f>
        <v>45918.66667</v>
      </c>
      <c r="B156" s="2">
        <f>IFERROR(__xludf.DUMMYFUNCTION("""COMPUTED_VALUE"""),173.98)</f>
        <v>173.98</v>
      </c>
      <c r="C156" s="1">
        <f>IFERROR(__xludf.DUMMYFUNCTION("""COMPUTED_VALUE"""),177.1)</f>
        <v>177.1</v>
      </c>
      <c r="D156" s="1">
        <f>IFERROR(__xludf.DUMMYFUNCTION("""COMPUTED_VALUE"""),172.96)</f>
        <v>172.96</v>
      </c>
      <c r="E156" s="1">
        <f>IFERROR(__xludf.DUMMYFUNCTION("""COMPUTED_VALUE"""),176.24)</f>
        <v>176.24</v>
      </c>
      <c r="F156" s="1">
        <f>IFERROR(__xludf.DUMMYFUNCTION("""COMPUTED_VALUE"""),1.91763313E8)</f>
        <v>191763313</v>
      </c>
    </row>
    <row r="157">
      <c r="A157" s="3">
        <f>IFERROR(__xludf.DUMMYFUNCTION("""COMPUTED_VALUE"""),45919.66666666667)</f>
        <v>45919.66667</v>
      </c>
      <c r="B157" s="2">
        <f>IFERROR(__xludf.DUMMYFUNCTION("""COMPUTED_VALUE"""),175.77)</f>
        <v>175.77</v>
      </c>
      <c r="C157" s="1">
        <f>IFERROR(__xludf.DUMMYFUNCTION("""COMPUTED_VALUE"""),178.08)</f>
        <v>178.08</v>
      </c>
      <c r="D157" s="1">
        <f>IFERROR(__xludf.DUMMYFUNCTION("""COMPUTED_VALUE"""),175.18)</f>
        <v>175.18</v>
      </c>
      <c r="E157" s="1">
        <f>IFERROR(__xludf.DUMMYFUNCTION("""COMPUTED_VALUE"""),176.67)</f>
        <v>176.67</v>
      </c>
      <c r="F157" s="1">
        <f>IFERROR(__xludf.DUMMYFUNCTION("""COMPUTED_VALUE"""),2.37182143E8)</f>
        <v>237182143</v>
      </c>
    </row>
    <row r="158">
      <c r="A158" s="3">
        <f>IFERROR(__xludf.DUMMYFUNCTION("""COMPUTED_VALUE"""),45922.66666666667)</f>
        <v>45922.66667</v>
      </c>
      <c r="B158" s="2">
        <f>IFERROR(__xludf.DUMMYFUNCTION("""COMPUTED_VALUE"""),175.3)</f>
        <v>175.3</v>
      </c>
      <c r="C158" s="1">
        <f>IFERROR(__xludf.DUMMYFUNCTION("""COMPUTED_VALUE"""),184.55)</f>
        <v>184.55</v>
      </c>
      <c r="D158" s="1">
        <f>IFERROR(__xludf.DUMMYFUNCTION("""COMPUTED_VALUE"""),174.71)</f>
        <v>174.71</v>
      </c>
      <c r="E158" s="1">
        <f>IFERROR(__xludf.DUMMYFUNCTION("""COMPUTED_VALUE"""),183.61)</f>
        <v>183.61</v>
      </c>
      <c r="F158" s="1">
        <f>IFERROR(__xludf.DUMMYFUNCTION("""COMPUTED_VALUE"""),2.69637001E8)</f>
        <v>269637001</v>
      </c>
    </row>
    <row r="159">
      <c r="A159" s="3">
        <f>IFERROR(__xludf.DUMMYFUNCTION("""COMPUTED_VALUE"""),45923.66666666667)</f>
        <v>45923.66667</v>
      </c>
      <c r="B159" s="2">
        <f>IFERROR(__xludf.DUMMYFUNCTION("""COMPUTED_VALUE"""),181.97)</f>
        <v>181.97</v>
      </c>
      <c r="C159" s="1">
        <f>IFERROR(__xludf.DUMMYFUNCTION("""COMPUTED_VALUE"""),182.42)</f>
        <v>182.42</v>
      </c>
      <c r="D159" s="1">
        <f>IFERROR(__xludf.DUMMYFUNCTION("""COMPUTED_VALUE"""),176.21)</f>
        <v>176.21</v>
      </c>
      <c r="E159" s="1">
        <f>IFERROR(__xludf.DUMMYFUNCTION("""COMPUTED_VALUE"""),178.43)</f>
        <v>178.43</v>
      </c>
      <c r="F159" s="1">
        <f>IFERROR(__xludf.DUMMYFUNCTION("""COMPUTED_VALUE"""),1.92559552E8)</f>
        <v>192559552</v>
      </c>
    </row>
    <row r="160">
      <c r="A160" s="3">
        <f>IFERROR(__xludf.DUMMYFUNCTION("""COMPUTED_VALUE"""),45924.66666666667)</f>
        <v>45924.66667</v>
      </c>
      <c r="B160" s="2">
        <f>IFERROR(__xludf.DUMMYFUNCTION("""COMPUTED_VALUE"""),179.77)</f>
        <v>179.77</v>
      </c>
      <c r="C160" s="1">
        <f>IFERROR(__xludf.DUMMYFUNCTION("""COMPUTED_VALUE"""),179.78)</f>
        <v>179.78</v>
      </c>
      <c r="D160" s="1">
        <f>IFERROR(__xludf.DUMMYFUNCTION("""COMPUTED_VALUE"""),175.4)</f>
        <v>175.4</v>
      </c>
      <c r="E160" s="1">
        <f>IFERROR(__xludf.DUMMYFUNCTION("""COMPUTED_VALUE"""),176.97)</f>
        <v>176.97</v>
      </c>
      <c r="F160" s="1">
        <f>IFERROR(__xludf.DUMMYFUNCTION("""COMPUTED_VALUE"""),1.43564116E8)</f>
        <v>143564116</v>
      </c>
    </row>
    <row r="161">
      <c r="A161" s="3">
        <f>IFERROR(__xludf.DUMMYFUNCTION("""COMPUTED_VALUE"""),45925.66666666667)</f>
        <v>45925.66667</v>
      </c>
      <c r="B161" s="2">
        <f>IFERROR(__xludf.DUMMYFUNCTION("""COMPUTED_VALUE"""),174.48)</f>
        <v>174.48</v>
      </c>
      <c r="C161" s="1">
        <f>IFERROR(__xludf.DUMMYFUNCTION("""COMPUTED_VALUE"""),180.26)</f>
        <v>180.26</v>
      </c>
      <c r="D161" s="1">
        <f>IFERROR(__xludf.DUMMYFUNCTION("""COMPUTED_VALUE"""),173.13)</f>
        <v>173.13</v>
      </c>
      <c r="E161" s="1">
        <f>IFERROR(__xludf.DUMMYFUNCTION("""COMPUTED_VALUE"""),177.69)</f>
        <v>177.69</v>
      </c>
      <c r="F161" s="1">
        <f>IFERROR(__xludf.DUMMYFUNCTION("""COMPUTED_VALUE"""),1.91586733E8)</f>
        <v>191586733</v>
      </c>
    </row>
    <row r="162">
      <c r="A162" s="3">
        <f>IFERROR(__xludf.DUMMYFUNCTION("""COMPUTED_VALUE"""),45926.66666666667)</f>
        <v>45926.66667</v>
      </c>
      <c r="B162" s="2">
        <f>IFERROR(__xludf.DUMMYFUNCTION("""COMPUTED_VALUE"""),178.17)</f>
        <v>178.17</v>
      </c>
      <c r="C162" s="1">
        <f>IFERROR(__xludf.DUMMYFUNCTION("""COMPUTED_VALUE"""),179.77)</f>
        <v>179.77</v>
      </c>
      <c r="D162" s="1">
        <f>IFERROR(__xludf.DUMMYFUNCTION("""COMPUTED_VALUE"""),174.93)</f>
        <v>174.93</v>
      </c>
      <c r="E162" s="1">
        <f>IFERROR(__xludf.DUMMYFUNCTION("""COMPUTED_VALUE"""),178.19)</f>
        <v>178.19</v>
      </c>
      <c r="F162" s="1">
        <f>IFERROR(__xludf.DUMMYFUNCTION("""COMPUTED_VALUE"""),1.48573732E8)</f>
        <v>148573732</v>
      </c>
    </row>
    <row r="163">
      <c r="A163" s="3">
        <f>IFERROR(__xludf.DUMMYFUNCTION("""COMPUTED_VALUE"""),45929.66666666667)</f>
        <v>45929.66667</v>
      </c>
      <c r="B163" s="2">
        <f>IFERROR(__xludf.DUMMYFUNCTION("""COMPUTED_VALUE"""),180.43)</f>
        <v>180.43</v>
      </c>
      <c r="C163" s="1">
        <f>IFERROR(__xludf.DUMMYFUNCTION("""COMPUTED_VALUE"""),184.0)</f>
        <v>184</v>
      </c>
      <c r="D163" s="1">
        <f>IFERROR(__xludf.DUMMYFUNCTION("""COMPUTED_VALUE"""),180.32)</f>
        <v>180.32</v>
      </c>
      <c r="E163" s="1">
        <f>IFERROR(__xludf.DUMMYFUNCTION("""COMPUTED_VALUE"""),181.85)</f>
        <v>181.85</v>
      </c>
      <c r="F163" s="1">
        <f>IFERROR(__xludf.DUMMYFUNCTION("""COMPUTED_VALUE"""),1.93063455E8)</f>
        <v>193063455</v>
      </c>
    </row>
    <row r="164">
      <c r="A164" s="3">
        <f>IFERROR(__xludf.DUMMYFUNCTION("""COMPUTED_VALUE"""),45930.66666666667)</f>
        <v>45930.66667</v>
      </c>
      <c r="B164" s="2">
        <f>IFERROR(__xludf.DUMMYFUNCTION("""COMPUTED_VALUE"""),182.08)</f>
        <v>182.08</v>
      </c>
      <c r="C164" s="1">
        <f>IFERROR(__xludf.DUMMYFUNCTION("""COMPUTED_VALUE"""),187.35)</f>
        <v>187.35</v>
      </c>
      <c r="D164" s="1">
        <f>IFERROR(__xludf.DUMMYFUNCTION("""COMPUTED_VALUE"""),181.48)</f>
        <v>181.48</v>
      </c>
      <c r="E164" s="1">
        <f>IFERROR(__xludf.DUMMYFUNCTION("""COMPUTED_VALUE"""),186.58)</f>
        <v>186.58</v>
      </c>
      <c r="F164" s="1">
        <f>IFERROR(__xludf.DUMMYFUNCTION("""COMPUTED_VALUE"""),2.36981032E8)</f>
        <v>236981032</v>
      </c>
    </row>
    <row r="165">
      <c r="A165" s="3">
        <f>IFERROR(__xludf.DUMMYFUNCTION("""COMPUTED_VALUE"""),45931.66666666667)</f>
        <v>45931.66667</v>
      </c>
      <c r="B165" s="2">
        <f>IFERROR(__xludf.DUMMYFUNCTION("""COMPUTED_VALUE"""),185.24)</f>
        <v>185.24</v>
      </c>
      <c r="C165" s="1">
        <f>IFERROR(__xludf.DUMMYFUNCTION("""COMPUTED_VALUE"""),188.14)</f>
        <v>188.14</v>
      </c>
      <c r="D165" s="1">
        <f>IFERROR(__xludf.DUMMYFUNCTION("""COMPUTED_VALUE"""),183.9)</f>
        <v>183.9</v>
      </c>
      <c r="E165" s="1">
        <f>IFERROR(__xludf.DUMMYFUNCTION("""COMPUTED_VALUE"""),187.24)</f>
        <v>187.24</v>
      </c>
      <c r="F165" s="1">
        <f>IFERROR(__xludf.DUMMYFUNCTION("""COMPUTED_VALUE"""),1.73844901E8)</f>
        <v>173844901</v>
      </c>
    </row>
    <row r="166">
      <c r="A166" s="3">
        <f>IFERROR(__xludf.DUMMYFUNCTION("""COMPUTED_VALUE"""),45932.66666666667)</f>
        <v>45932.66667</v>
      </c>
      <c r="B166" s="2">
        <f>IFERROR(__xludf.DUMMYFUNCTION("""COMPUTED_VALUE"""),189.6)</f>
        <v>189.6</v>
      </c>
      <c r="C166" s="1">
        <f>IFERROR(__xludf.DUMMYFUNCTION("""COMPUTED_VALUE"""),191.05)</f>
        <v>191.05</v>
      </c>
      <c r="D166" s="1">
        <f>IFERROR(__xludf.DUMMYFUNCTION("""COMPUTED_VALUE"""),188.06)</f>
        <v>188.06</v>
      </c>
      <c r="E166" s="1">
        <f>IFERROR(__xludf.DUMMYFUNCTION("""COMPUTED_VALUE"""),188.89)</f>
        <v>188.89</v>
      </c>
      <c r="F166" s="1">
        <f>IFERROR(__xludf.DUMMYFUNCTION("""COMPUTED_VALUE"""),1.36805821E8)</f>
        <v>136805821</v>
      </c>
    </row>
    <row r="167">
      <c r="A167" s="3">
        <f>IFERROR(__xludf.DUMMYFUNCTION("""COMPUTED_VALUE"""),45933.66666666667)</f>
        <v>45933.66667</v>
      </c>
      <c r="B167" s="2">
        <f>IFERROR(__xludf.DUMMYFUNCTION("""COMPUTED_VALUE"""),189.19)</f>
        <v>189.19</v>
      </c>
      <c r="C167" s="1">
        <f>IFERROR(__xludf.DUMMYFUNCTION("""COMPUTED_VALUE"""),190.36)</f>
        <v>190.36</v>
      </c>
      <c r="D167" s="1">
        <f>IFERROR(__xludf.DUMMYFUNCTION("""COMPUTED_VALUE"""),185.38)</f>
        <v>185.38</v>
      </c>
      <c r="E167" s="1">
        <f>IFERROR(__xludf.DUMMYFUNCTION("""COMPUTED_VALUE"""),187.62)</f>
        <v>187.62</v>
      </c>
      <c r="F167" s="1">
        <f>IFERROR(__xludf.DUMMYFUNCTION("""COMPUTED_VALUE"""),1.37596896E8)</f>
        <v>137596896</v>
      </c>
    </row>
    <row r="168">
      <c r="A168" s="3">
        <f>IFERROR(__xludf.DUMMYFUNCTION("""COMPUTED_VALUE"""),45936.66666666667)</f>
        <v>45936.66667</v>
      </c>
      <c r="B168" s="2">
        <f>IFERROR(__xludf.DUMMYFUNCTION("""COMPUTED_VALUE"""),185.5)</f>
        <v>185.5</v>
      </c>
      <c r="C168" s="1">
        <f>IFERROR(__xludf.DUMMYFUNCTION("""COMPUTED_VALUE"""),187.23)</f>
        <v>187.23</v>
      </c>
      <c r="D168" s="1">
        <f>IFERROR(__xludf.DUMMYFUNCTION("""COMPUTED_VALUE"""),183.33)</f>
        <v>183.33</v>
      </c>
      <c r="E168" s="1">
        <f>IFERROR(__xludf.DUMMYFUNCTION("""COMPUTED_VALUE"""),185.54)</f>
        <v>185.54</v>
      </c>
      <c r="F168" s="1">
        <f>IFERROR(__xludf.DUMMYFUNCTION("""COMPUTED_VALUE"""),1.57678104E8)</f>
        <v>157678104</v>
      </c>
    </row>
    <row r="169">
      <c r="A169" s="3">
        <f>IFERROR(__xludf.DUMMYFUNCTION("""COMPUTED_VALUE"""),45937.66666666667)</f>
        <v>45937.66667</v>
      </c>
      <c r="B169" s="2">
        <f>IFERROR(__xludf.DUMMYFUNCTION("""COMPUTED_VALUE"""),186.23)</f>
        <v>186.23</v>
      </c>
      <c r="C169" s="1">
        <f>IFERROR(__xludf.DUMMYFUNCTION("""COMPUTED_VALUE"""),189.06)</f>
        <v>189.06</v>
      </c>
      <c r="D169" s="1">
        <f>IFERROR(__xludf.DUMMYFUNCTION("""COMPUTED_VALUE"""),184.0)</f>
        <v>184</v>
      </c>
      <c r="E169" s="1">
        <f>IFERROR(__xludf.DUMMYFUNCTION("""COMPUTED_VALUE"""),185.04)</f>
        <v>185.04</v>
      </c>
      <c r="F169" s="1">
        <f>IFERROR(__xludf.DUMMYFUNCTION("""COMPUTED_VALUE"""),1.40088008E8)</f>
        <v>140088008</v>
      </c>
    </row>
    <row r="170">
      <c r="A170" s="3">
        <f>IFERROR(__xludf.DUMMYFUNCTION("""COMPUTED_VALUE"""),45938.66666666667)</f>
        <v>45938.66667</v>
      </c>
      <c r="B170" s="2">
        <f>IFERROR(__xludf.DUMMYFUNCTION("""COMPUTED_VALUE"""),186.57)</f>
        <v>186.57</v>
      </c>
      <c r="C170" s="1">
        <f>IFERROR(__xludf.DUMMYFUNCTION("""COMPUTED_VALUE"""),189.6)</f>
        <v>189.6</v>
      </c>
      <c r="D170" s="1">
        <f>IFERROR(__xludf.DUMMYFUNCTION("""COMPUTED_VALUE"""),186.54)</f>
        <v>186.54</v>
      </c>
      <c r="E170" s="1">
        <f>IFERROR(__xludf.DUMMYFUNCTION("""COMPUTED_VALUE"""),189.11)</f>
        <v>189.11</v>
      </c>
      <c r="F170" s="1">
        <f>IFERROR(__xludf.DUMMYFUNCTION("""COMPUTED_VALUE"""),1.30168861E8)</f>
        <v>130168861</v>
      </c>
    </row>
    <row r="171">
      <c r="A171" s="3">
        <f>IFERROR(__xludf.DUMMYFUNCTION("""COMPUTED_VALUE"""),45939.66666666667)</f>
        <v>45939.66667</v>
      </c>
      <c r="B171" s="2">
        <f>IFERROR(__xludf.DUMMYFUNCTION("""COMPUTED_VALUE"""),192.23)</f>
        <v>192.23</v>
      </c>
      <c r="C171" s="1">
        <f>IFERROR(__xludf.DUMMYFUNCTION("""COMPUTED_VALUE"""),195.3)</f>
        <v>195.3</v>
      </c>
      <c r="D171" s="1">
        <f>IFERROR(__xludf.DUMMYFUNCTION("""COMPUTED_VALUE"""),191.06)</f>
        <v>191.06</v>
      </c>
      <c r="E171" s="1">
        <f>IFERROR(__xludf.DUMMYFUNCTION("""COMPUTED_VALUE"""),192.57)</f>
        <v>192.57</v>
      </c>
      <c r="F171" s="1">
        <f>IFERROR(__xludf.DUMMYFUNCTION("""COMPUTED_VALUE"""),1.82997234E8)</f>
        <v>182997234</v>
      </c>
    </row>
    <row r="172">
      <c r="A172" s="3">
        <f>IFERROR(__xludf.DUMMYFUNCTION("""COMPUTED_VALUE"""),45940.66666666667)</f>
        <v>45940.66667</v>
      </c>
      <c r="B172" s="2">
        <f>IFERROR(__xludf.DUMMYFUNCTION("""COMPUTED_VALUE"""),193.51)</f>
        <v>193.51</v>
      </c>
      <c r="C172" s="1">
        <f>IFERROR(__xludf.DUMMYFUNCTION("""COMPUTED_VALUE"""),195.62)</f>
        <v>195.62</v>
      </c>
      <c r="D172" s="1">
        <f>IFERROR(__xludf.DUMMYFUNCTION("""COMPUTED_VALUE"""),182.05)</f>
        <v>182.05</v>
      </c>
      <c r="E172" s="1">
        <f>IFERROR(__xludf.DUMMYFUNCTION("""COMPUTED_VALUE"""),183.16)</f>
        <v>183.16</v>
      </c>
      <c r="F172" s="1">
        <f>IFERROR(__xludf.DUMMYFUNCTION("""COMPUTED_VALUE"""),2.68774359E8)</f>
        <v>268774359</v>
      </c>
    </row>
    <row r="173">
      <c r="A173" s="3">
        <f>IFERROR(__xludf.DUMMYFUNCTION("""COMPUTED_VALUE"""),45943.66666666667)</f>
        <v>45943.66667</v>
      </c>
      <c r="B173" s="2">
        <f>IFERROR(__xludf.DUMMYFUNCTION("""COMPUTED_VALUE"""),187.97)</f>
        <v>187.97</v>
      </c>
      <c r="C173" s="1">
        <f>IFERROR(__xludf.DUMMYFUNCTION("""COMPUTED_VALUE"""),190.11)</f>
        <v>190.11</v>
      </c>
      <c r="D173" s="1">
        <f>IFERROR(__xludf.DUMMYFUNCTION("""COMPUTED_VALUE"""),185.96)</f>
        <v>185.96</v>
      </c>
      <c r="E173" s="1">
        <f>IFERROR(__xludf.DUMMYFUNCTION("""COMPUTED_VALUE"""),188.32)</f>
        <v>188.32</v>
      </c>
      <c r="F173" s="1">
        <f>IFERROR(__xludf.DUMMYFUNCTION("""COMPUTED_VALUE"""),1.53482755E8)</f>
        <v>153482755</v>
      </c>
    </row>
    <row r="174">
      <c r="A174" s="3">
        <f>IFERROR(__xludf.DUMMYFUNCTION("""COMPUTED_VALUE"""),45944.66666666667)</f>
        <v>45944.66667</v>
      </c>
      <c r="B174" s="2">
        <f>IFERROR(__xludf.DUMMYFUNCTION("""COMPUTED_VALUE"""),184.77)</f>
        <v>184.77</v>
      </c>
      <c r="C174" s="1">
        <f>IFERROR(__xludf.DUMMYFUNCTION("""COMPUTED_VALUE"""),184.8)</f>
        <v>184.8</v>
      </c>
      <c r="D174" s="1">
        <f>IFERROR(__xludf.DUMMYFUNCTION("""COMPUTED_VALUE"""),179.7)</f>
        <v>179.7</v>
      </c>
      <c r="E174" s="1">
        <f>IFERROR(__xludf.DUMMYFUNCTION("""COMPUTED_VALUE"""),180.03)</f>
        <v>180.03</v>
      </c>
      <c r="F174" s="1">
        <f>IFERROR(__xludf.DUMMYFUNCTION("""COMPUTED_VALUE"""),2.0564138E8)</f>
        <v>205641380</v>
      </c>
    </row>
    <row r="175">
      <c r="A175" s="3">
        <f>IFERROR(__xludf.DUMMYFUNCTION("""COMPUTED_VALUE"""),45945.66666666667)</f>
        <v>45945.66667</v>
      </c>
      <c r="B175" s="2">
        <f>IFERROR(__xludf.DUMMYFUNCTION("""COMPUTED_VALUE"""),184.8)</f>
        <v>184.8</v>
      </c>
      <c r="C175" s="1">
        <f>IFERROR(__xludf.DUMMYFUNCTION("""COMPUTED_VALUE"""),184.87)</f>
        <v>184.87</v>
      </c>
      <c r="D175" s="1">
        <f>IFERROR(__xludf.DUMMYFUNCTION("""COMPUTED_VALUE"""),177.29)</f>
        <v>177.29</v>
      </c>
      <c r="E175" s="1">
        <f>IFERROR(__xludf.DUMMYFUNCTION("""COMPUTED_VALUE"""),179.83)</f>
        <v>179.83</v>
      </c>
      <c r="F175" s="1">
        <f>IFERROR(__xludf.DUMMYFUNCTION("""COMPUTED_VALUE"""),2.14450482E8)</f>
        <v>214450482</v>
      </c>
    </row>
    <row r="176">
      <c r="A176" s="3">
        <f>IFERROR(__xludf.DUMMYFUNCTION("""COMPUTED_VALUE"""),45946.66666666667)</f>
        <v>45946.66667</v>
      </c>
      <c r="B176" s="2">
        <f>IFERROR(__xludf.DUMMYFUNCTION("""COMPUTED_VALUE"""),182.23)</f>
        <v>182.23</v>
      </c>
      <c r="C176" s="1">
        <f>IFERROR(__xludf.DUMMYFUNCTION("""COMPUTED_VALUE"""),183.28)</f>
        <v>183.28</v>
      </c>
      <c r="D176" s="1">
        <f>IFERROR(__xludf.DUMMYFUNCTION("""COMPUTED_VALUE"""),179.77)</f>
        <v>179.77</v>
      </c>
      <c r="E176" s="1">
        <f>IFERROR(__xludf.DUMMYFUNCTION("""COMPUTED_VALUE"""),181.81)</f>
        <v>181.81</v>
      </c>
      <c r="F176" s="1">
        <f>IFERROR(__xludf.DUMMYFUNCTION("""COMPUTED_VALUE"""),1.79723309E8)</f>
        <v>179723309</v>
      </c>
    </row>
    <row r="177">
      <c r="A177" s="3">
        <f>IFERROR(__xludf.DUMMYFUNCTION("""COMPUTED_VALUE"""),45947.66666666667)</f>
        <v>45947.66667</v>
      </c>
      <c r="B177" s="2">
        <f>IFERROR(__xludf.DUMMYFUNCTION("""COMPUTED_VALUE"""),180.18)</f>
        <v>180.18</v>
      </c>
      <c r="C177" s="1">
        <f>IFERROR(__xludf.DUMMYFUNCTION("""COMPUTED_VALUE"""),184.1)</f>
        <v>184.1</v>
      </c>
      <c r="D177" s="1">
        <f>IFERROR(__xludf.DUMMYFUNCTION("""COMPUTED_VALUE"""),179.75)</f>
        <v>179.75</v>
      </c>
      <c r="E177" s="1">
        <f>IFERROR(__xludf.DUMMYFUNCTION("""COMPUTED_VALUE"""),183.22)</f>
        <v>183.22</v>
      </c>
      <c r="F177" s="1">
        <f>IFERROR(__xludf.DUMMYFUNCTION("""COMPUTED_VALUE"""),1.73135217E8)</f>
        <v>173135217</v>
      </c>
    </row>
    <row r="178">
      <c r="A178" s="3">
        <f>IFERROR(__xludf.DUMMYFUNCTION("""COMPUTED_VALUE"""),45950.66666666667)</f>
        <v>45950.66667</v>
      </c>
      <c r="B178" s="2">
        <f>IFERROR(__xludf.DUMMYFUNCTION("""COMPUTED_VALUE"""),183.13)</f>
        <v>183.13</v>
      </c>
      <c r="C178" s="1">
        <f>IFERROR(__xludf.DUMMYFUNCTION("""COMPUTED_VALUE"""),185.2)</f>
        <v>185.2</v>
      </c>
      <c r="D178" s="1">
        <f>IFERROR(__xludf.DUMMYFUNCTION("""COMPUTED_VALUE"""),181.73)</f>
        <v>181.73</v>
      </c>
      <c r="E178" s="1">
        <f>IFERROR(__xludf.DUMMYFUNCTION("""COMPUTED_VALUE"""),182.64)</f>
        <v>182.64</v>
      </c>
      <c r="F178" s="1">
        <f>IFERROR(__xludf.DUMMYFUNCTION("""COMPUTED_VALUE"""),1.28544711E8)</f>
        <v>128544711</v>
      </c>
    </row>
    <row r="179">
      <c r="A179" s="3">
        <f>IFERROR(__xludf.DUMMYFUNCTION("""COMPUTED_VALUE"""),45951.66666666667)</f>
        <v>45951.66667</v>
      </c>
      <c r="B179" s="2">
        <f>IFERROR(__xludf.DUMMYFUNCTION("""COMPUTED_VALUE"""),182.79)</f>
        <v>182.79</v>
      </c>
      <c r="C179" s="1">
        <f>IFERROR(__xludf.DUMMYFUNCTION("""COMPUTED_VALUE"""),182.79)</f>
        <v>182.79</v>
      </c>
      <c r="D179" s="1">
        <f>IFERROR(__xludf.DUMMYFUNCTION("""COMPUTED_VALUE"""),179.8)</f>
        <v>179.8</v>
      </c>
      <c r="E179" s="1">
        <f>IFERROR(__xludf.DUMMYFUNCTION("""COMPUTED_VALUE"""),181.16)</f>
        <v>181.16</v>
      </c>
      <c r="F179" s="1">
        <f>IFERROR(__xludf.DUMMYFUNCTION("""COMPUTED_VALUE"""),1.24240168E8)</f>
        <v>124240168</v>
      </c>
    </row>
    <row r="180">
      <c r="A180" s="3">
        <f>IFERROR(__xludf.DUMMYFUNCTION("""COMPUTED_VALUE"""),45952.66666666667)</f>
        <v>45952.66667</v>
      </c>
      <c r="B180" s="2">
        <f>IFERROR(__xludf.DUMMYFUNCTION("""COMPUTED_VALUE"""),181.14)</f>
        <v>181.14</v>
      </c>
      <c r="C180" s="1">
        <f>IFERROR(__xludf.DUMMYFUNCTION("""COMPUTED_VALUE"""),183.44)</f>
        <v>183.44</v>
      </c>
      <c r="D180" s="1">
        <f>IFERROR(__xludf.DUMMYFUNCTION("""COMPUTED_VALUE"""),176.76)</f>
        <v>176.76</v>
      </c>
      <c r="E180" s="1">
        <f>IFERROR(__xludf.DUMMYFUNCTION("""COMPUTED_VALUE"""),180.28)</f>
        <v>180.28</v>
      </c>
      <c r="F180" s="1">
        <f>IFERROR(__xludf.DUMMYFUNCTION("""COMPUTED_VALUE"""),1.62249552E8)</f>
        <v>162249552</v>
      </c>
    </row>
    <row r="181">
      <c r="A181" s="3">
        <f>IFERROR(__xludf.DUMMYFUNCTION("""COMPUTED_VALUE"""),45953.66666666667)</f>
        <v>45953.66667</v>
      </c>
      <c r="B181" s="2">
        <f>IFERROR(__xludf.DUMMYFUNCTION("""COMPUTED_VALUE"""),180.42)</f>
        <v>180.42</v>
      </c>
      <c r="C181" s="1">
        <f>IFERROR(__xludf.DUMMYFUNCTION("""COMPUTED_VALUE"""),183.03)</f>
        <v>183.03</v>
      </c>
      <c r="D181" s="1">
        <f>IFERROR(__xludf.DUMMYFUNCTION("""COMPUTED_VALUE"""),179.79)</f>
        <v>179.79</v>
      </c>
      <c r="E181" s="1">
        <f>IFERROR(__xludf.DUMMYFUNCTION("""COMPUTED_VALUE"""),182.16)</f>
        <v>182.16</v>
      </c>
      <c r="F181" s="1">
        <f>IFERROR(__xludf.DUMMYFUNCTION("""COMPUTED_VALUE"""),1.11363718E8)</f>
        <v>111363718</v>
      </c>
    </row>
    <row r="182">
      <c r="A182" s="3">
        <f>IFERROR(__xludf.DUMMYFUNCTION("""COMPUTED_VALUE"""),45954.66666666667)</f>
        <v>45954.66667</v>
      </c>
      <c r="B182" s="2">
        <f>IFERROR(__xludf.DUMMYFUNCTION("""COMPUTED_VALUE"""),183.84)</f>
        <v>183.84</v>
      </c>
      <c r="C182" s="1">
        <f>IFERROR(__xludf.DUMMYFUNCTION("""COMPUTED_VALUE"""),187.47)</f>
        <v>187.47</v>
      </c>
      <c r="D182" s="1">
        <f>IFERROR(__xludf.DUMMYFUNCTION("""COMPUTED_VALUE"""),183.5)</f>
        <v>183.5</v>
      </c>
      <c r="E182" s="1">
        <f>IFERROR(__xludf.DUMMYFUNCTION("""COMPUTED_VALUE"""),186.26)</f>
        <v>186.26</v>
      </c>
      <c r="F182" s="1">
        <f>IFERROR(__xludf.DUMMYFUNCTION("""COMPUTED_VALUE"""),1.31296677E8)</f>
        <v>131296677</v>
      </c>
    </row>
    <row r="183">
      <c r="A183" s="3">
        <f>IFERROR(__xludf.DUMMYFUNCTION("""COMPUTED_VALUE"""),45957.66666666667)</f>
        <v>45957.66667</v>
      </c>
      <c r="B183" s="2">
        <f>IFERROR(__xludf.DUMMYFUNCTION("""COMPUTED_VALUE"""),189.99)</f>
        <v>189.99</v>
      </c>
      <c r="C183" s="1">
        <f>IFERROR(__xludf.DUMMYFUNCTION("""COMPUTED_VALUE"""),192.0)</f>
        <v>192</v>
      </c>
      <c r="D183" s="1">
        <f>IFERROR(__xludf.DUMMYFUNCTION("""COMPUTED_VALUE"""),188.43)</f>
        <v>188.43</v>
      </c>
      <c r="E183" s="1">
        <f>IFERROR(__xludf.DUMMYFUNCTION("""COMPUTED_VALUE"""),191.49)</f>
        <v>191.49</v>
      </c>
      <c r="F183" s="1">
        <f>IFERROR(__xludf.DUMMYFUNCTION("""COMPUTED_VALUE"""),1.53452704E8)</f>
        <v>153452704</v>
      </c>
    </row>
    <row r="184">
      <c r="A184" s="3">
        <f>IFERROR(__xludf.DUMMYFUNCTION("""COMPUTED_VALUE"""),45958.66666666667)</f>
        <v>45958.66667</v>
      </c>
      <c r="B184" s="2">
        <f>IFERROR(__xludf.DUMMYFUNCTION("""COMPUTED_VALUE"""),193.05)</f>
        <v>193.05</v>
      </c>
      <c r="C184" s="1">
        <f>IFERROR(__xludf.DUMMYFUNCTION("""COMPUTED_VALUE"""),203.15)</f>
        <v>203.15</v>
      </c>
      <c r="D184" s="1">
        <f>IFERROR(__xludf.DUMMYFUNCTION("""COMPUTED_VALUE"""),191.91)</f>
        <v>191.91</v>
      </c>
      <c r="E184" s="1">
        <f>IFERROR(__xludf.DUMMYFUNCTION("""COMPUTED_VALUE"""),201.03)</f>
        <v>201.03</v>
      </c>
      <c r="F184" s="1">
        <f>IFERROR(__xludf.DUMMYFUNCTION("""COMPUTED_VALUE"""),2.9798618E8)</f>
        <v>297986180</v>
      </c>
    </row>
    <row r="185">
      <c r="A185" s="3">
        <f>IFERROR(__xludf.DUMMYFUNCTION("""COMPUTED_VALUE"""),45959.66666666667)</f>
        <v>45959.66667</v>
      </c>
      <c r="B185" s="2">
        <f>IFERROR(__xludf.DUMMYFUNCTION("""COMPUTED_VALUE"""),207.98)</f>
        <v>207.98</v>
      </c>
      <c r="C185" s="1">
        <f>IFERROR(__xludf.DUMMYFUNCTION("""COMPUTED_VALUE"""),212.19)</f>
        <v>212.19</v>
      </c>
      <c r="D185" s="1">
        <f>IFERROR(__xludf.DUMMYFUNCTION("""COMPUTED_VALUE"""),204.78)</f>
        <v>204.78</v>
      </c>
      <c r="E185" s="1">
        <f>IFERROR(__xludf.DUMMYFUNCTION("""COMPUTED_VALUE"""),207.04)</f>
        <v>207.04</v>
      </c>
      <c r="F185" s="1">
        <f>IFERROR(__xludf.DUMMYFUNCTION("""COMPUTED_VALUE"""),3.08829564E8)</f>
        <v>308829564</v>
      </c>
    </row>
    <row r="186">
      <c r="A186" s="3">
        <f>IFERROR(__xludf.DUMMYFUNCTION("""COMPUTED_VALUE"""),45960.66666666667)</f>
        <v>45960.66667</v>
      </c>
      <c r="B186" s="2">
        <f>IFERROR(__xludf.DUMMYFUNCTION("""COMPUTED_VALUE"""),205.15)</f>
        <v>205.15</v>
      </c>
      <c r="C186" s="1">
        <f>IFERROR(__xludf.DUMMYFUNCTION("""COMPUTED_VALUE"""),206.16)</f>
        <v>206.16</v>
      </c>
      <c r="D186" s="1">
        <f>IFERROR(__xludf.DUMMYFUNCTION("""COMPUTED_VALUE"""),201.41)</f>
        <v>201.41</v>
      </c>
      <c r="E186" s="1">
        <f>IFERROR(__xludf.DUMMYFUNCTION("""COMPUTED_VALUE"""),202.89)</f>
        <v>202.89</v>
      </c>
      <c r="F186" s="1">
        <f>IFERROR(__xludf.DUMMYFUNCTION("""COMPUTED_VALUE"""),1.78864443E8)</f>
        <v>178864443</v>
      </c>
    </row>
    <row r="187">
      <c r="A187" s="3">
        <f>IFERROR(__xludf.DUMMYFUNCTION("""COMPUTED_VALUE"""),45961.66666666667)</f>
        <v>45961.66667</v>
      </c>
      <c r="B187" s="2">
        <f>IFERROR(__xludf.DUMMYFUNCTION("""COMPUTED_VALUE"""),206.45)</f>
        <v>206.45</v>
      </c>
      <c r="C187" s="1">
        <f>IFERROR(__xludf.DUMMYFUNCTION("""COMPUTED_VALUE"""),207.97)</f>
        <v>207.97</v>
      </c>
      <c r="D187" s="1">
        <f>IFERROR(__xludf.DUMMYFUNCTION("""COMPUTED_VALUE"""),202.07)</f>
        <v>202.07</v>
      </c>
      <c r="E187" s="1">
        <f>IFERROR(__xludf.DUMMYFUNCTION("""COMPUTED_VALUE"""),202.49)</f>
        <v>202.49</v>
      </c>
      <c r="F187" s="1">
        <f>IFERROR(__xludf.DUMMYFUNCTION("""COMPUTED_VALUE"""),1.79802178E8)</f>
        <v>179802178</v>
      </c>
    </row>
    <row r="188">
      <c r="A188" s="3">
        <f>IFERROR(__xludf.DUMMYFUNCTION("""COMPUTED_VALUE"""),45964.66666666667)</f>
        <v>45964.66667</v>
      </c>
      <c r="B188" s="2">
        <f>IFERROR(__xludf.DUMMYFUNCTION("""COMPUTED_VALUE"""),208.08)</f>
        <v>208.08</v>
      </c>
      <c r="C188" s="1">
        <f>IFERROR(__xludf.DUMMYFUNCTION("""COMPUTED_VALUE"""),211.34)</f>
        <v>211.34</v>
      </c>
      <c r="D188" s="1">
        <f>IFERROR(__xludf.DUMMYFUNCTION("""COMPUTED_VALUE"""),205.56)</f>
        <v>205.56</v>
      </c>
      <c r="E188" s="1">
        <f>IFERROR(__xludf.DUMMYFUNCTION("""COMPUTED_VALUE"""),206.88)</f>
        <v>206.88</v>
      </c>
      <c r="F188" s="1">
        <f>IFERROR(__xludf.DUMMYFUNCTION("""COMPUTED_VALUE"""),1.80267285E8)</f>
        <v>180267285</v>
      </c>
    </row>
    <row r="189">
      <c r="A189" s="3">
        <f>IFERROR(__xludf.DUMMYFUNCTION("""COMPUTED_VALUE"""),45965.66666666667)</f>
        <v>45965.66667</v>
      </c>
      <c r="B189" s="2">
        <f>IFERROR(__xludf.DUMMYFUNCTION("""COMPUTED_VALUE"""),203.0)</f>
        <v>203</v>
      </c>
      <c r="C189" s="1">
        <f>IFERROR(__xludf.DUMMYFUNCTION("""COMPUTED_VALUE"""),203.97)</f>
        <v>203.97</v>
      </c>
      <c r="D189" s="1">
        <f>IFERROR(__xludf.DUMMYFUNCTION("""COMPUTED_VALUE"""),197.93)</f>
        <v>197.93</v>
      </c>
      <c r="E189" s="1">
        <f>IFERROR(__xludf.DUMMYFUNCTION("""COMPUTED_VALUE"""),198.69)</f>
        <v>198.69</v>
      </c>
      <c r="F189" s="1">
        <f>IFERROR(__xludf.DUMMYFUNCTION("""COMPUTED_VALUE"""),1.8891932E8)</f>
        <v>188919320</v>
      </c>
    </row>
    <row r="190">
      <c r="A190" s="3">
        <f>IFERROR(__xludf.DUMMYFUNCTION("""COMPUTED_VALUE"""),45966.66666666667)</f>
        <v>45966.66667</v>
      </c>
      <c r="B190" s="2">
        <f>IFERROR(__xludf.DUMMYFUNCTION("""COMPUTED_VALUE"""),198.77)</f>
        <v>198.77</v>
      </c>
      <c r="C190" s="1">
        <f>IFERROR(__xludf.DUMMYFUNCTION("""COMPUTED_VALUE"""),202.92)</f>
        <v>202.92</v>
      </c>
      <c r="D190" s="1">
        <f>IFERROR(__xludf.DUMMYFUNCTION("""COMPUTED_VALUE"""),194.65)</f>
        <v>194.65</v>
      </c>
      <c r="E190" s="1">
        <f>IFERROR(__xludf.DUMMYFUNCTION("""COMPUTED_VALUE"""),195.21)</f>
        <v>195.21</v>
      </c>
      <c r="F190" s="1">
        <f>IFERROR(__xludf.DUMMYFUNCTION("""COMPUTED_VALUE"""),1.71350332E8)</f>
        <v>171350332</v>
      </c>
    </row>
    <row r="191">
      <c r="A191" s="3">
        <f>IFERROR(__xludf.DUMMYFUNCTION("""COMPUTED_VALUE"""),45967.66666666667)</f>
        <v>45967.66667</v>
      </c>
      <c r="B191" s="2">
        <f>IFERROR(__xludf.DUMMYFUNCTION("""COMPUTED_VALUE"""),196.42)</f>
        <v>196.42</v>
      </c>
      <c r="C191" s="1">
        <f>IFERROR(__xludf.DUMMYFUNCTION("""COMPUTED_VALUE"""),197.62)</f>
        <v>197.62</v>
      </c>
      <c r="D191" s="1">
        <f>IFERROR(__xludf.DUMMYFUNCTION("""COMPUTED_VALUE"""),186.38)</f>
        <v>186.38</v>
      </c>
      <c r="E191" s="1">
        <f>IFERROR(__xludf.DUMMYFUNCTION("""COMPUTED_VALUE"""),188.08)</f>
        <v>188.08</v>
      </c>
      <c r="F191" s="1">
        <f>IFERROR(__xludf.DUMMYFUNCTION("""COMPUTED_VALUE"""),2.23029778E8)</f>
        <v>223029778</v>
      </c>
    </row>
    <row r="192">
      <c r="A192" s="3">
        <f>IFERROR(__xludf.DUMMYFUNCTION("""COMPUTED_VALUE"""),45968.66666666667)</f>
        <v>45968.66667</v>
      </c>
      <c r="B192" s="2">
        <f>IFERROR(__xludf.DUMMYFUNCTION("""COMPUTED_VALUE"""),184.9)</f>
        <v>184.9</v>
      </c>
      <c r="C192" s="1">
        <f>IFERROR(__xludf.DUMMYFUNCTION("""COMPUTED_VALUE"""),188.32)</f>
        <v>188.32</v>
      </c>
      <c r="D192" s="1">
        <f>IFERROR(__xludf.DUMMYFUNCTION("""COMPUTED_VALUE"""),178.91)</f>
        <v>178.91</v>
      </c>
      <c r="E192" s="1">
        <f>IFERROR(__xludf.DUMMYFUNCTION("""COMPUTED_VALUE"""),188.15)</f>
        <v>188.15</v>
      </c>
      <c r="F192" s="1">
        <f>IFERROR(__xludf.DUMMYFUNCTION("""COMPUTED_VALUE"""),2.64942255E8)</f>
        <v>264942255</v>
      </c>
    </row>
    <row r="193">
      <c r="A193" s="3">
        <f>IFERROR(__xludf.DUMMYFUNCTION("""COMPUTED_VALUE"""),45971.66666666667)</f>
        <v>45971.66667</v>
      </c>
      <c r="B193" s="2">
        <f>IFERROR(__xludf.DUMMYFUNCTION("""COMPUTED_VALUE"""),195.11)</f>
        <v>195.11</v>
      </c>
      <c r="C193" s="1">
        <f>IFERROR(__xludf.DUMMYFUNCTION("""COMPUTED_VALUE"""),199.94)</f>
        <v>199.94</v>
      </c>
      <c r="D193" s="1">
        <f>IFERROR(__xludf.DUMMYFUNCTION("""COMPUTED_VALUE"""),193.79)</f>
        <v>193.79</v>
      </c>
      <c r="E193" s="1">
        <f>IFERROR(__xludf.DUMMYFUNCTION("""COMPUTED_VALUE"""),199.05)</f>
        <v>199.05</v>
      </c>
      <c r="F193" s="1">
        <f>IFERROR(__xludf.DUMMYFUNCTION("""COMPUTED_VALUE"""),1.98897134E8)</f>
        <v>198897134</v>
      </c>
    </row>
    <row r="194">
      <c r="A194" s="3">
        <f>IFERROR(__xludf.DUMMYFUNCTION("""COMPUTED_VALUE"""),45972.66666666667)</f>
        <v>45972.66667</v>
      </c>
      <c r="B194" s="2">
        <f>IFERROR(__xludf.DUMMYFUNCTION("""COMPUTED_VALUE"""),195.16)</f>
        <v>195.16</v>
      </c>
      <c r="C194" s="1">
        <f>IFERROR(__xludf.DUMMYFUNCTION("""COMPUTED_VALUE"""),195.42)</f>
        <v>195.42</v>
      </c>
      <c r="D194" s="1">
        <f>IFERROR(__xludf.DUMMYFUNCTION("""COMPUTED_VALUE"""),191.3)</f>
        <v>191.3</v>
      </c>
      <c r="E194" s="1">
        <f>IFERROR(__xludf.DUMMYFUNCTION("""COMPUTED_VALUE"""),193.16)</f>
        <v>193.16</v>
      </c>
      <c r="F194" s="1">
        <f>IFERROR(__xludf.DUMMYFUNCTION("""COMPUTED_VALUE"""),1.76483327E8)</f>
        <v>176483327</v>
      </c>
    </row>
    <row r="195">
      <c r="A195" s="3">
        <f>IFERROR(__xludf.DUMMYFUNCTION("""COMPUTED_VALUE"""),45973.66666666667)</f>
        <v>45973.66667</v>
      </c>
      <c r="B195" s="2">
        <f>IFERROR(__xludf.DUMMYFUNCTION("""COMPUTED_VALUE"""),195.72)</f>
        <v>195.72</v>
      </c>
      <c r="C195" s="1">
        <f>IFERROR(__xludf.DUMMYFUNCTION("""COMPUTED_VALUE"""),195.89)</f>
        <v>195.89</v>
      </c>
      <c r="D195" s="1">
        <f>IFERROR(__xludf.DUMMYFUNCTION("""COMPUTED_VALUE"""),191.13)</f>
        <v>191.13</v>
      </c>
      <c r="E195" s="1">
        <f>IFERROR(__xludf.DUMMYFUNCTION("""COMPUTED_VALUE"""),193.8)</f>
        <v>193.8</v>
      </c>
      <c r="F195" s="1">
        <f>IFERROR(__xludf.DUMMYFUNCTION("""COMPUTED_VALUE"""),1.54935263E8)</f>
        <v>154935263</v>
      </c>
    </row>
    <row r="196">
      <c r="A196" s="3">
        <f>IFERROR(__xludf.DUMMYFUNCTION("""COMPUTED_VALUE"""),45974.66666666667)</f>
        <v>45974.66667</v>
      </c>
      <c r="B196" s="2">
        <f>IFERROR(__xludf.DUMMYFUNCTION("""COMPUTED_VALUE"""),191.05)</f>
        <v>191.05</v>
      </c>
      <c r="C196" s="1">
        <f>IFERROR(__xludf.DUMMYFUNCTION("""COMPUTED_VALUE"""),191.44)</f>
        <v>191.44</v>
      </c>
      <c r="D196" s="1">
        <f>IFERROR(__xludf.DUMMYFUNCTION("""COMPUTED_VALUE"""),183.85)</f>
        <v>183.85</v>
      </c>
      <c r="E196" s="1">
        <f>IFERROR(__xludf.DUMMYFUNCTION("""COMPUTED_VALUE"""),186.86)</f>
        <v>186.86</v>
      </c>
      <c r="F196" s="1">
        <f>IFERROR(__xludf.DUMMYFUNCTION("""COMPUTED_VALUE"""),2.07423074E8)</f>
        <v>207423074</v>
      </c>
    </row>
    <row r="197">
      <c r="A197" s="3">
        <f>IFERROR(__xludf.DUMMYFUNCTION("""COMPUTED_VALUE"""),45975.66666666667)</f>
        <v>45975.66667</v>
      </c>
      <c r="B197" s="2">
        <f>IFERROR(__xludf.DUMMYFUNCTION("""COMPUTED_VALUE"""),182.86)</f>
        <v>182.86</v>
      </c>
      <c r="C197" s="1">
        <f>IFERROR(__xludf.DUMMYFUNCTION("""COMPUTED_VALUE"""),191.01)</f>
        <v>191.01</v>
      </c>
      <c r="D197" s="1">
        <f>IFERROR(__xludf.DUMMYFUNCTION("""COMPUTED_VALUE"""),180.58)</f>
        <v>180.58</v>
      </c>
      <c r="E197" s="1">
        <f>IFERROR(__xludf.DUMMYFUNCTION("""COMPUTED_VALUE"""),190.17)</f>
        <v>190.17</v>
      </c>
      <c r="F197" s="1">
        <f>IFERROR(__xludf.DUMMYFUNCTION("""COMPUTED_VALUE"""),1.86591856E8)</f>
        <v>186591856</v>
      </c>
    </row>
    <row r="198">
      <c r="A198" s="3">
        <f>IFERROR(__xludf.DUMMYFUNCTION("""COMPUTED_VALUE"""),45978.66666666667)</f>
        <v>45978.66667</v>
      </c>
      <c r="B198" s="2">
        <f>IFERROR(__xludf.DUMMYFUNCTION("""COMPUTED_VALUE"""),185.97)</f>
        <v>185.97</v>
      </c>
      <c r="C198" s="1">
        <f>IFERROR(__xludf.DUMMYFUNCTION("""COMPUTED_VALUE"""),189.0)</f>
        <v>189</v>
      </c>
      <c r="D198" s="1">
        <f>IFERROR(__xludf.DUMMYFUNCTION("""COMPUTED_VALUE"""),184.32)</f>
        <v>184.32</v>
      </c>
      <c r="E198" s="1">
        <f>IFERROR(__xludf.DUMMYFUNCTION("""COMPUTED_VALUE"""),186.6)</f>
        <v>186.6</v>
      </c>
      <c r="F198" s="1">
        <f>IFERROR(__xludf.DUMMYFUNCTION("""COMPUTED_VALUE"""),1.73628858E8)</f>
        <v>173628858</v>
      </c>
    </row>
    <row r="199">
      <c r="A199" s="3">
        <f>IFERROR(__xludf.DUMMYFUNCTION("""COMPUTED_VALUE"""),45979.66666666667)</f>
        <v>45979.66667</v>
      </c>
      <c r="B199" s="2">
        <f>IFERROR(__xludf.DUMMYFUNCTION("""COMPUTED_VALUE"""),183.38)</f>
        <v>183.38</v>
      </c>
      <c r="C199" s="1">
        <f>IFERROR(__xludf.DUMMYFUNCTION("""COMPUTED_VALUE"""),184.8)</f>
        <v>184.8</v>
      </c>
      <c r="D199" s="1">
        <f>IFERROR(__xludf.DUMMYFUNCTION("""COMPUTED_VALUE"""),179.65)</f>
        <v>179.65</v>
      </c>
      <c r="E199" s="1">
        <f>IFERROR(__xludf.DUMMYFUNCTION("""COMPUTED_VALUE"""),181.36)</f>
        <v>181.36</v>
      </c>
      <c r="F199" s="1">
        <f>IFERROR(__xludf.DUMMYFUNCTION("""COMPUTED_VALUE"""),2.13598877E8)</f>
        <v>213598877</v>
      </c>
    </row>
    <row r="200">
      <c r="A200" s="3">
        <f>IFERROR(__xludf.DUMMYFUNCTION("""COMPUTED_VALUE"""),45980.66666666667)</f>
        <v>45980.66667</v>
      </c>
      <c r="B200" s="2">
        <f>IFERROR(__xludf.DUMMYFUNCTION("""COMPUTED_VALUE"""),184.79)</f>
        <v>184.79</v>
      </c>
      <c r="C200" s="1">
        <f>IFERROR(__xludf.DUMMYFUNCTION("""COMPUTED_VALUE"""),187.86)</f>
        <v>187.86</v>
      </c>
      <c r="D200" s="1">
        <f>IFERROR(__xludf.DUMMYFUNCTION("""COMPUTED_VALUE"""),182.83)</f>
        <v>182.83</v>
      </c>
      <c r="E200" s="1">
        <f>IFERROR(__xludf.DUMMYFUNCTION("""COMPUTED_VALUE"""),186.52)</f>
        <v>186.52</v>
      </c>
      <c r="F200" s="1">
        <f>IFERROR(__xludf.DUMMYFUNCTION("""COMPUTED_VALUE"""),2.47246436E8)</f>
        <v>247246436</v>
      </c>
    </row>
    <row r="201">
      <c r="A201" s="3">
        <f>IFERROR(__xludf.DUMMYFUNCTION("""COMPUTED_VALUE"""),45981.66666666667)</f>
        <v>45981.66667</v>
      </c>
      <c r="B201" s="2">
        <f>IFERROR(__xludf.DUMMYFUNCTION("""COMPUTED_VALUE"""),195.95)</f>
        <v>195.95</v>
      </c>
      <c r="C201" s="1">
        <f>IFERROR(__xludf.DUMMYFUNCTION("""COMPUTED_VALUE"""),196.0)</f>
        <v>196</v>
      </c>
      <c r="D201" s="1">
        <f>IFERROR(__xludf.DUMMYFUNCTION("""COMPUTED_VALUE"""),179.85)</f>
        <v>179.85</v>
      </c>
      <c r="E201" s="1">
        <f>IFERROR(__xludf.DUMMYFUNCTION("""COMPUTED_VALUE"""),180.64)</f>
        <v>180.64</v>
      </c>
      <c r="F201" s="1">
        <f>IFERROR(__xludf.DUMMYFUNCTION("""COMPUTED_VALUE"""),3.43504849E8)</f>
        <v>343504849</v>
      </c>
    </row>
    <row r="202">
      <c r="A202" s="3">
        <f>IFERROR(__xludf.DUMMYFUNCTION("""COMPUTED_VALUE"""),45982.66666666667)</f>
        <v>45982.66667</v>
      </c>
      <c r="B202" s="2">
        <f>IFERROR(__xludf.DUMMYFUNCTION("""COMPUTED_VALUE"""),181.24)</f>
        <v>181.24</v>
      </c>
      <c r="C202" s="1">
        <f>IFERROR(__xludf.DUMMYFUNCTION("""COMPUTED_VALUE"""),184.56)</f>
        <v>184.56</v>
      </c>
      <c r="D202" s="1">
        <f>IFERROR(__xludf.DUMMYFUNCTION("""COMPUTED_VALUE"""),172.93)</f>
        <v>172.93</v>
      </c>
      <c r="E202" s="1">
        <f>IFERROR(__xludf.DUMMYFUNCTION("""COMPUTED_VALUE"""),178.88)</f>
        <v>178.88</v>
      </c>
      <c r="F202" s="1">
        <f>IFERROR(__xludf.DUMMYFUNCTION("""COMPUTED_VALUE"""),3.46926153E8)</f>
        <v>346926153</v>
      </c>
    </row>
    <row r="203">
      <c r="A203" s="3">
        <f>IFERROR(__xludf.DUMMYFUNCTION("""COMPUTED_VALUE"""),45985.66666666667)</f>
        <v>45985.66667</v>
      </c>
      <c r="B203" s="2">
        <f>IFERROR(__xludf.DUMMYFUNCTION("""COMPUTED_VALUE"""),179.49)</f>
        <v>179.49</v>
      </c>
      <c r="C203" s="1">
        <f>IFERROR(__xludf.DUMMYFUNCTION("""COMPUTED_VALUE"""),183.5)</f>
        <v>183.5</v>
      </c>
      <c r="D203" s="1">
        <f>IFERROR(__xludf.DUMMYFUNCTION("""COMPUTED_VALUE"""),176.48)</f>
        <v>176.48</v>
      </c>
      <c r="E203" s="1">
        <f>IFERROR(__xludf.DUMMYFUNCTION("""COMPUTED_VALUE"""),182.55)</f>
        <v>182.55</v>
      </c>
      <c r="F203" s="1">
        <f>IFERROR(__xludf.DUMMYFUNCTION("""COMPUTED_VALUE"""),2.56618335E8)</f>
        <v>256618335</v>
      </c>
    </row>
    <row r="204">
      <c r="A204" s="3">
        <f>IFERROR(__xludf.DUMMYFUNCTION("""COMPUTED_VALUE"""),45986.66666666667)</f>
        <v>45986.66667</v>
      </c>
      <c r="B204" s="2">
        <f>IFERROR(__xludf.DUMMYFUNCTION("""COMPUTED_VALUE"""),174.91)</f>
        <v>174.91</v>
      </c>
      <c r="C204" s="1">
        <f>IFERROR(__xludf.DUMMYFUNCTION("""COMPUTED_VALUE"""),178.16)</f>
        <v>178.16</v>
      </c>
      <c r="D204" s="1">
        <f>IFERROR(__xludf.DUMMYFUNCTION("""COMPUTED_VALUE"""),169.55)</f>
        <v>169.55</v>
      </c>
      <c r="E204" s="1">
        <f>IFERROR(__xludf.DUMMYFUNCTION("""COMPUTED_VALUE"""),177.82)</f>
        <v>177.82</v>
      </c>
      <c r="F204" s="1">
        <f>IFERROR(__xludf.DUMMYFUNCTION("""COMPUTED_VALUE"""),3.20600271E8)</f>
        <v>320600271</v>
      </c>
    </row>
    <row r="205">
      <c r="A205" s="3">
        <f>IFERROR(__xludf.DUMMYFUNCTION("""COMPUTED_VALUE"""),45987.66666666667)</f>
        <v>45987.66667</v>
      </c>
      <c r="B205" s="2">
        <f>IFERROR(__xludf.DUMMYFUNCTION("""COMPUTED_VALUE"""),181.63)</f>
        <v>181.63</v>
      </c>
      <c r="C205" s="1">
        <f>IFERROR(__xludf.DUMMYFUNCTION("""COMPUTED_VALUE"""),182.91)</f>
        <v>182.91</v>
      </c>
      <c r="D205" s="1">
        <f>IFERROR(__xludf.DUMMYFUNCTION("""COMPUTED_VALUE"""),178.24)</f>
        <v>178.24</v>
      </c>
      <c r="E205" s="1">
        <f>IFERROR(__xludf.DUMMYFUNCTION("""COMPUTED_VALUE"""),180.26)</f>
        <v>180.26</v>
      </c>
      <c r="F205" s="1">
        <f>IFERROR(__xludf.DUMMYFUNCTION("""COMPUTED_VALUE"""),1.8385201E8)</f>
        <v>183852010</v>
      </c>
    </row>
    <row r="206">
      <c r="A206" s="3">
        <f>IFERROR(__xludf.DUMMYFUNCTION("""COMPUTED_VALUE"""),45989.54513888889)</f>
        <v>45989.54514</v>
      </c>
      <c r="B206" s="2">
        <f>IFERROR(__xludf.DUMMYFUNCTION("""COMPUTED_VALUE"""),179.01)</f>
        <v>179.01</v>
      </c>
      <c r="C206" s="1">
        <f>IFERROR(__xludf.DUMMYFUNCTION("""COMPUTED_VALUE"""),179.29)</f>
        <v>179.29</v>
      </c>
      <c r="D206" s="1">
        <f>IFERROR(__xludf.DUMMYFUNCTION("""COMPUTED_VALUE"""),176.5)</f>
        <v>176.5</v>
      </c>
      <c r="E206" s="1">
        <f>IFERROR(__xludf.DUMMYFUNCTION("""COMPUTED_VALUE"""),177.0)</f>
        <v>177</v>
      </c>
      <c r="F206" s="1">
        <f>IFERROR(__xludf.DUMMYFUNCTION("""COMPUTED_VALUE"""),1.21332776E8)</f>
        <v>121332776</v>
      </c>
    </row>
    <row r="207">
      <c r="A207" s="3">
        <f>IFERROR(__xludf.DUMMYFUNCTION("""COMPUTED_VALUE"""),45992.66666666667)</f>
        <v>45992.66667</v>
      </c>
      <c r="B207" s="2">
        <f>IFERROR(__xludf.DUMMYFUNCTION("""COMPUTED_VALUE"""),174.76)</f>
        <v>174.76</v>
      </c>
      <c r="C207" s="1">
        <f>IFERROR(__xludf.DUMMYFUNCTION("""COMPUTED_VALUE"""),180.3)</f>
        <v>180.3</v>
      </c>
      <c r="D207" s="1">
        <f>IFERROR(__xludf.DUMMYFUNCTION("""COMPUTED_VALUE"""),173.68)</f>
        <v>173.68</v>
      </c>
      <c r="E207" s="1">
        <f>IFERROR(__xludf.DUMMYFUNCTION("""COMPUTED_VALUE"""),179.92)</f>
        <v>179.92</v>
      </c>
      <c r="F207" s="1">
        <f>IFERROR(__xludf.DUMMYFUNCTION("""COMPUTED_VALUE"""),1.88130955E8)</f>
        <v>188130955</v>
      </c>
    </row>
    <row r="208">
      <c r="A208" s="3">
        <f>IFERROR(__xludf.DUMMYFUNCTION("""COMPUTED_VALUE"""),45993.66666666667)</f>
        <v>45993.66667</v>
      </c>
      <c r="B208" s="2">
        <f>IFERROR(__xludf.DUMMYFUNCTION("""COMPUTED_VALUE"""),181.76)</f>
        <v>181.76</v>
      </c>
      <c r="C208" s="1">
        <f>IFERROR(__xludf.DUMMYFUNCTION("""COMPUTED_VALUE"""),185.66)</f>
        <v>185.66</v>
      </c>
      <c r="D208" s="1">
        <f>IFERROR(__xludf.DUMMYFUNCTION("""COMPUTED_VALUE"""),180.0)</f>
        <v>180</v>
      </c>
      <c r="E208" s="1">
        <f>IFERROR(__xludf.DUMMYFUNCTION("""COMPUTED_VALUE"""),181.46)</f>
        <v>181.46</v>
      </c>
      <c r="F208" s="1">
        <f>IFERROR(__xludf.DUMMYFUNCTION("""COMPUTED_VALUE"""),1.8263223E8)</f>
        <v>182632230</v>
      </c>
    </row>
    <row r="209">
      <c r="A209" s="3">
        <f>IFERROR(__xludf.DUMMYFUNCTION("""COMPUTED_VALUE"""),45994.66666666667)</f>
        <v>45994.66667</v>
      </c>
      <c r="B209" s="2">
        <f>IFERROR(__xludf.DUMMYFUNCTION("""COMPUTED_VALUE"""),181.08)</f>
        <v>181.08</v>
      </c>
      <c r="C209" s="1">
        <f>IFERROR(__xludf.DUMMYFUNCTION("""COMPUTED_VALUE"""),182.45)</f>
        <v>182.45</v>
      </c>
      <c r="D209" s="1">
        <f>IFERROR(__xludf.DUMMYFUNCTION("""COMPUTED_VALUE"""),179.11)</f>
        <v>179.11</v>
      </c>
      <c r="E209" s="1">
        <f>IFERROR(__xludf.DUMMYFUNCTION("""COMPUTED_VALUE"""),179.59)</f>
        <v>179.59</v>
      </c>
      <c r="F209" s="1">
        <f>IFERROR(__xludf.DUMMYFUNCTION("""COMPUTED_VALUE"""),1.65138023E8)</f>
        <v>165138023</v>
      </c>
    </row>
    <row r="210">
      <c r="A210" s="3">
        <f>IFERROR(__xludf.DUMMYFUNCTION("""COMPUTED_VALUE"""),45995.66666666667)</f>
        <v>45995.66667</v>
      </c>
      <c r="B210" s="2">
        <f>IFERROR(__xludf.DUMMYFUNCTION("""COMPUTED_VALUE"""),181.62)</f>
        <v>181.62</v>
      </c>
      <c r="C210" s="1">
        <f>IFERROR(__xludf.DUMMYFUNCTION("""COMPUTED_VALUE"""),184.52)</f>
        <v>184.52</v>
      </c>
      <c r="D210" s="1">
        <f>IFERROR(__xludf.DUMMYFUNCTION("""COMPUTED_VALUE"""),179.96)</f>
        <v>179.96</v>
      </c>
      <c r="E210" s="1">
        <f>IFERROR(__xludf.DUMMYFUNCTION("""COMPUTED_VALUE"""),183.38)</f>
        <v>183.38</v>
      </c>
      <c r="F210" s="1">
        <f>IFERROR(__xludf.DUMMYFUNCTION("""COMPUTED_VALUE"""),1.67364857E8)</f>
        <v>167364857</v>
      </c>
    </row>
    <row r="211">
      <c r="A211" s="3">
        <f>IFERROR(__xludf.DUMMYFUNCTION("""COMPUTED_VALUE"""),45996.66666666667)</f>
        <v>45996.66667</v>
      </c>
      <c r="B211" s="2">
        <f>IFERROR(__xludf.DUMMYFUNCTION("""COMPUTED_VALUE"""),183.89)</f>
        <v>183.89</v>
      </c>
      <c r="C211" s="1">
        <f>IFERROR(__xludf.DUMMYFUNCTION("""COMPUTED_VALUE"""),184.66)</f>
        <v>184.66</v>
      </c>
      <c r="D211" s="1">
        <f>IFERROR(__xludf.DUMMYFUNCTION("""COMPUTED_VALUE"""),180.91)</f>
        <v>180.91</v>
      </c>
      <c r="E211" s="1">
        <f>IFERROR(__xludf.DUMMYFUNCTION("""COMPUTED_VALUE"""),182.41)</f>
        <v>182.41</v>
      </c>
      <c r="F211" s="1">
        <f>IFERROR(__xludf.DUMMYFUNCTION("""COMPUTED_VALUE"""),1.43971098E8)</f>
        <v>143971098</v>
      </c>
    </row>
    <row r="212">
      <c r="A212" s="3">
        <f>IFERROR(__xludf.DUMMYFUNCTION("""COMPUTED_VALUE"""),45999.66666666667)</f>
        <v>45999.66667</v>
      </c>
      <c r="B212" s="2">
        <f>IFERROR(__xludf.DUMMYFUNCTION("""COMPUTED_VALUE"""),182.64)</f>
        <v>182.64</v>
      </c>
      <c r="C212" s="1">
        <f>IFERROR(__xludf.DUMMYFUNCTION("""COMPUTED_VALUE"""),188.0)</f>
        <v>188</v>
      </c>
      <c r="D212" s="1">
        <f>IFERROR(__xludf.DUMMYFUNCTION("""COMPUTED_VALUE"""),182.4)</f>
        <v>182.4</v>
      </c>
      <c r="E212" s="1">
        <f>IFERROR(__xludf.DUMMYFUNCTION("""COMPUTED_VALUE"""),185.55)</f>
        <v>185.55</v>
      </c>
      <c r="F212" s="1">
        <f>IFERROR(__xludf.DUMMYFUNCTION("""COMPUTED_VALUE"""),2.04378106E8)</f>
        <v>204378106</v>
      </c>
    </row>
    <row r="213">
      <c r="A213" s="3">
        <f>IFERROR(__xludf.DUMMYFUNCTION("""COMPUTED_VALUE"""),46000.66666666667)</f>
        <v>46000.66667</v>
      </c>
      <c r="B213" s="2">
        <f>IFERROR(__xludf.DUMMYFUNCTION("""COMPUTED_VALUE"""),185.56)</f>
        <v>185.56</v>
      </c>
      <c r="C213" s="1">
        <f>IFERROR(__xludf.DUMMYFUNCTION("""COMPUTED_VALUE"""),185.72)</f>
        <v>185.72</v>
      </c>
      <c r="D213" s="1">
        <f>IFERROR(__xludf.DUMMYFUNCTION("""COMPUTED_VALUE"""),183.32)</f>
        <v>183.32</v>
      </c>
      <c r="E213" s="1">
        <f>IFERROR(__xludf.DUMMYFUNCTION("""COMPUTED_VALUE"""),184.97)</f>
        <v>184.97</v>
      </c>
      <c r="F213" s="1">
        <f>IFERROR(__xludf.DUMMYFUNCTION("""COMPUTED_VALUE"""),1.44719705E8)</f>
        <v>144719705</v>
      </c>
    </row>
    <row r="214">
      <c r="A214" s="3">
        <f>IFERROR(__xludf.DUMMYFUNCTION("""COMPUTED_VALUE"""),46001.66666666667)</f>
        <v>46001.66667</v>
      </c>
      <c r="B214" s="2">
        <f>IFERROR(__xludf.DUMMYFUNCTION("""COMPUTED_VALUE"""),184.97)</f>
        <v>184.97</v>
      </c>
      <c r="C214" s="1">
        <f>IFERROR(__xludf.DUMMYFUNCTION("""COMPUTED_VALUE"""),185.48)</f>
        <v>185.48</v>
      </c>
      <c r="D214" s="1">
        <f>IFERROR(__xludf.DUMMYFUNCTION("""COMPUTED_VALUE"""),182.04)</f>
        <v>182.04</v>
      </c>
      <c r="E214" s="1">
        <f>IFERROR(__xludf.DUMMYFUNCTION("""COMPUTED_VALUE"""),183.78)</f>
        <v>183.78</v>
      </c>
      <c r="F214" s="1">
        <f>IFERROR(__xludf.DUMMYFUNCTION("""COMPUTED_VALUE"""),1.6278537E8)</f>
        <v>162785370</v>
      </c>
    </row>
    <row r="215">
      <c r="A215" s="3">
        <f>IFERROR(__xludf.DUMMYFUNCTION("""COMPUTED_VALUE"""),46002.66666666667)</f>
        <v>46002.66667</v>
      </c>
      <c r="B215" s="2">
        <f>IFERROR(__xludf.DUMMYFUNCTION("""COMPUTED_VALUE"""),180.28)</f>
        <v>180.28</v>
      </c>
      <c r="C215" s="1">
        <f>IFERROR(__xludf.DUMMYFUNCTION("""COMPUTED_VALUE"""),181.32)</f>
        <v>181.32</v>
      </c>
      <c r="D215" s="1">
        <f>IFERROR(__xludf.DUMMYFUNCTION("""COMPUTED_VALUE"""),176.62)</f>
        <v>176.62</v>
      </c>
      <c r="E215" s="1">
        <f>IFERROR(__xludf.DUMMYFUNCTION("""COMPUTED_VALUE"""),180.93)</f>
        <v>180.93</v>
      </c>
      <c r="F215" s="1">
        <f>IFERROR(__xludf.DUMMYFUNCTION("""COMPUTED_VALUE"""),1.82136641E8)</f>
        <v>182136641</v>
      </c>
    </row>
    <row r="216">
      <c r="A216" s="3">
        <f>IFERROR(__xludf.DUMMYFUNCTION("""COMPUTED_VALUE"""),46003.66666666667)</f>
        <v>46003.66667</v>
      </c>
      <c r="B216" s="2">
        <f>IFERROR(__xludf.DUMMYFUNCTION("""COMPUTED_VALUE"""),181.11)</f>
        <v>181.11</v>
      </c>
      <c r="C216" s="1">
        <f>IFERROR(__xludf.DUMMYFUNCTION("""COMPUTED_VALUE"""),182.82)</f>
        <v>182.82</v>
      </c>
      <c r="D216" s="1">
        <f>IFERROR(__xludf.DUMMYFUNCTION("""COMPUTED_VALUE"""),174.62)</f>
        <v>174.62</v>
      </c>
      <c r="E216" s="1">
        <f>IFERROR(__xludf.DUMMYFUNCTION("""COMPUTED_VALUE"""),175.02)</f>
        <v>175.02</v>
      </c>
      <c r="F216" s="1">
        <f>IFERROR(__xludf.DUMMYFUNCTION("""COMPUTED_VALUE"""),2.04274918E8)</f>
        <v>204274918</v>
      </c>
    </row>
    <row r="217">
      <c r="A217" s="3">
        <f>IFERROR(__xludf.DUMMYFUNCTION("""COMPUTED_VALUE"""),46006.66666666667)</f>
        <v>46006.66667</v>
      </c>
      <c r="B217" s="2">
        <f>IFERROR(__xludf.DUMMYFUNCTION("""COMPUTED_VALUE"""),177.94)</f>
        <v>177.94</v>
      </c>
      <c r="C217" s="1">
        <f>IFERROR(__xludf.DUMMYFUNCTION("""COMPUTED_VALUE"""),178.42)</f>
        <v>178.42</v>
      </c>
      <c r="D217" s="1">
        <f>IFERROR(__xludf.DUMMYFUNCTION("""COMPUTED_VALUE"""),175.03)</f>
        <v>175.03</v>
      </c>
      <c r="E217" s="1">
        <f>IFERROR(__xludf.DUMMYFUNCTION("""COMPUTED_VALUE"""),176.29)</f>
        <v>176.29</v>
      </c>
      <c r="F217" s="1">
        <f>IFERROR(__xludf.DUMMYFUNCTION("""COMPUTED_VALUE"""),1.64775636E8)</f>
        <v>164775636</v>
      </c>
    </row>
    <row r="218">
      <c r="A218" s="3">
        <f>IFERROR(__xludf.DUMMYFUNCTION("""COMPUTED_VALUE"""),46007.66666666667)</f>
        <v>46007.66667</v>
      </c>
      <c r="B218" s="2">
        <f>IFERROR(__xludf.DUMMYFUNCTION("""COMPUTED_VALUE"""),176.26)</f>
        <v>176.26</v>
      </c>
      <c r="C218" s="1">
        <f>IFERROR(__xludf.DUMMYFUNCTION("""COMPUTED_VALUE"""),178.49)</f>
        <v>178.49</v>
      </c>
      <c r="D218" s="1">
        <f>IFERROR(__xludf.DUMMYFUNCTION("""COMPUTED_VALUE"""),174.9)</f>
        <v>174.9</v>
      </c>
      <c r="E218" s="1">
        <f>IFERROR(__xludf.DUMMYFUNCTION("""COMPUTED_VALUE"""),177.72)</f>
        <v>177.72</v>
      </c>
      <c r="F218" s="1">
        <f>IFERROR(__xludf.DUMMYFUNCTION("""COMPUTED_VALUE"""),1.48588098E8)</f>
        <v>148588098</v>
      </c>
    </row>
    <row r="219">
      <c r="A219" s="3">
        <f>IFERROR(__xludf.DUMMYFUNCTION("""COMPUTED_VALUE"""),46008.66666666667)</f>
        <v>46008.66667</v>
      </c>
      <c r="B219" s="2">
        <f>IFERROR(__xludf.DUMMYFUNCTION("""COMPUTED_VALUE"""),176.1)</f>
        <v>176.1</v>
      </c>
      <c r="C219" s="1">
        <f>IFERROR(__xludf.DUMMYFUNCTION("""COMPUTED_VALUE"""),176.13)</f>
        <v>176.13</v>
      </c>
      <c r="D219" s="1">
        <f>IFERROR(__xludf.DUMMYFUNCTION("""COMPUTED_VALUE"""),170.31)</f>
        <v>170.31</v>
      </c>
      <c r="E219" s="1">
        <f>IFERROR(__xludf.DUMMYFUNCTION("""COMPUTED_VALUE"""),170.94)</f>
        <v>170.94</v>
      </c>
      <c r="F219" s="1">
        <f>IFERROR(__xludf.DUMMYFUNCTION("""COMPUTED_VALUE"""),2.22775464E8)</f>
        <v>222775464</v>
      </c>
    </row>
    <row r="220">
      <c r="A220" s="3">
        <f>IFERROR(__xludf.DUMMYFUNCTION("""COMPUTED_VALUE"""),46009.66666666667)</f>
        <v>46009.66667</v>
      </c>
      <c r="B220" s="2">
        <f>IFERROR(__xludf.DUMMYFUNCTION("""COMPUTED_VALUE"""),174.53)</f>
        <v>174.53</v>
      </c>
      <c r="C220" s="1">
        <f>IFERROR(__xludf.DUMMYFUNCTION("""COMPUTED_VALUE"""),176.15)</f>
        <v>176.15</v>
      </c>
      <c r="D220" s="1">
        <f>IFERROR(__xludf.DUMMYFUNCTION("""COMPUTED_VALUE"""),171.82)</f>
        <v>171.82</v>
      </c>
      <c r="E220" s="1">
        <f>IFERROR(__xludf.DUMMYFUNCTION("""COMPUTED_VALUE"""),174.14)</f>
        <v>174.14</v>
      </c>
      <c r="F220" s="1">
        <f>IFERROR(__xludf.DUMMYFUNCTION("""COMPUTED_VALUE"""),1.76096001E8)</f>
        <v>176096001</v>
      </c>
    </row>
    <row r="221">
      <c r="A221" s="3">
        <f>IFERROR(__xludf.DUMMYFUNCTION("""COMPUTED_VALUE"""),46010.66666666667)</f>
        <v>46010.66667</v>
      </c>
      <c r="B221" s="2">
        <f>IFERROR(__xludf.DUMMYFUNCTION("""COMPUTED_VALUE"""),176.67)</f>
        <v>176.67</v>
      </c>
      <c r="C221" s="1">
        <f>IFERROR(__xludf.DUMMYFUNCTION("""COMPUTED_VALUE"""),181.45)</f>
        <v>181.45</v>
      </c>
      <c r="D221" s="1">
        <f>IFERROR(__xludf.DUMMYFUNCTION("""COMPUTED_VALUE"""),176.34)</f>
        <v>176.34</v>
      </c>
      <c r="E221" s="1">
        <f>IFERROR(__xludf.DUMMYFUNCTION("""COMPUTED_VALUE"""),180.99)</f>
        <v>180.99</v>
      </c>
      <c r="F221" s="1">
        <f>IFERROR(__xludf.DUMMYFUNCTION("""COMPUTED_VALUE"""),3.24925927E8)</f>
        <v>324925927</v>
      </c>
    </row>
    <row r="222">
      <c r="A222" s="3">
        <f>IFERROR(__xludf.DUMMYFUNCTION("""COMPUTED_VALUE"""),46013.66666666667)</f>
        <v>46013.66667</v>
      </c>
      <c r="B222" s="2">
        <f>IFERROR(__xludf.DUMMYFUNCTION("""COMPUTED_VALUE"""),183.92)</f>
        <v>183.92</v>
      </c>
      <c r="C222" s="1">
        <f>IFERROR(__xludf.DUMMYFUNCTION("""COMPUTED_VALUE"""),184.16)</f>
        <v>184.16</v>
      </c>
      <c r="D222" s="1">
        <f>IFERROR(__xludf.DUMMYFUNCTION("""COMPUTED_VALUE"""),182.35)</f>
        <v>182.35</v>
      </c>
      <c r="E222" s="1">
        <f>IFERROR(__xludf.DUMMYFUNCTION("""COMPUTED_VALUE"""),183.69)</f>
        <v>183.69</v>
      </c>
      <c r="F222" s="1">
        <f>IFERROR(__xludf.DUMMYFUNCTION("""COMPUTED_VALUE"""),1.29064369E8)</f>
        <v>129064369</v>
      </c>
    </row>
    <row r="223">
      <c r="A223" s="3">
        <f>IFERROR(__xludf.DUMMYFUNCTION("""COMPUTED_VALUE"""),46014.66666666667)</f>
        <v>46014.66667</v>
      </c>
      <c r="B223" s="2">
        <f>IFERROR(__xludf.DUMMYFUNCTION("""COMPUTED_VALUE"""),182.97)</f>
        <v>182.97</v>
      </c>
      <c r="C223" s="1">
        <f>IFERROR(__xludf.DUMMYFUNCTION("""COMPUTED_VALUE"""),189.33)</f>
        <v>189.33</v>
      </c>
      <c r="D223" s="1">
        <f>IFERROR(__xludf.DUMMYFUNCTION("""COMPUTED_VALUE"""),182.9)</f>
        <v>182.9</v>
      </c>
      <c r="E223" s="1">
        <f>IFERROR(__xludf.DUMMYFUNCTION("""COMPUTED_VALUE"""),189.21)</f>
        <v>189.21</v>
      </c>
      <c r="F223" s="1">
        <f>IFERROR(__xludf.DUMMYFUNCTION("""COMPUTED_VALUE"""),1.74873621E8)</f>
        <v>174873621</v>
      </c>
    </row>
    <row r="224">
      <c r="A224" s="3">
        <f>IFERROR(__xludf.DUMMYFUNCTION("""COMPUTED_VALUE"""),46015.54513888889)</f>
        <v>46015.54514</v>
      </c>
      <c r="B224" s="2">
        <f>IFERROR(__xludf.DUMMYFUNCTION("""COMPUTED_VALUE"""),187.94)</f>
        <v>187.94</v>
      </c>
      <c r="C224" s="1">
        <f>IFERROR(__xludf.DUMMYFUNCTION("""COMPUTED_VALUE"""),188.91)</f>
        <v>188.91</v>
      </c>
      <c r="D224" s="1">
        <f>IFERROR(__xludf.DUMMYFUNCTION("""COMPUTED_VALUE"""),186.59)</f>
        <v>186.59</v>
      </c>
      <c r="E224" s="1">
        <f>IFERROR(__xludf.DUMMYFUNCTION("""COMPUTED_VALUE"""),188.61)</f>
        <v>188.61</v>
      </c>
      <c r="F224" s="1">
        <f>IFERROR(__xludf.DUMMYFUNCTION("""COMPUTED_VALUE"""),6.5528545E7)</f>
        <v>65528545</v>
      </c>
    </row>
    <row r="225">
      <c r="A225" s="3">
        <f>IFERROR(__xludf.DUMMYFUNCTION("""COMPUTED_VALUE"""),46017.66666666667)</f>
        <v>46017.66667</v>
      </c>
      <c r="B225" s="2">
        <f>IFERROR(__xludf.DUMMYFUNCTION("""COMPUTED_VALUE"""),189.92)</f>
        <v>189.92</v>
      </c>
      <c r="C225" s="1">
        <f>IFERROR(__xludf.DUMMYFUNCTION("""COMPUTED_VALUE"""),192.69)</f>
        <v>192.69</v>
      </c>
      <c r="D225" s="1">
        <f>IFERROR(__xludf.DUMMYFUNCTION("""COMPUTED_VALUE"""),188.0)</f>
        <v>188</v>
      </c>
      <c r="E225" s="1">
        <f>IFERROR(__xludf.DUMMYFUNCTION("""COMPUTED_VALUE"""),190.53)</f>
        <v>190.53</v>
      </c>
      <c r="F225" s="1">
        <f>IFERROR(__xludf.DUMMYFUNCTION("""COMPUTED_VALUE"""),1.39740292E8)</f>
        <v>139740292</v>
      </c>
    </row>
    <row r="226">
      <c r="A226" s="3">
        <f>IFERROR(__xludf.DUMMYFUNCTION("""COMPUTED_VALUE"""),46020.66666666667)</f>
        <v>46020.66667</v>
      </c>
      <c r="B226" s="2">
        <f>IFERROR(__xludf.DUMMYFUNCTION("""COMPUTED_VALUE"""),187.71)</f>
        <v>187.71</v>
      </c>
      <c r="C226" s="1">
        <f>IFERROR(__xludf.DUMMYFUNCTION("""COMPUTED_VALUE"""),188.76)</f>
        <v>188.76</v>
      </c>
      <c r="D226" s="1">
        <f>IFERROR(__xludf.DUMMYFUNCTION("""COMPUTED_VALUE"""),185.91)</f>
        <v>185.91</v>
      </c>
      <c r="E226" s="1">
        <f>IFERROR(__xludf.DUMMYFUNCTION("""COMPUTED_VALUE"""),188.22)</f>
        <v>188.22</v>
      </c>
      <c r="F226" s="1">
        <f>IFERROR(__xludf.DUMMYFUNCTION("""COMPUTED_VALUE"""),1.20006103E8)</f>
        <v>120006103</v>
      </c>
    </row>
    <row r="227">
      <c r="A227" s="3">
        <f>IFERROR(__xludf.DUMMYFUNCTION("""COMPUTED_VALUE"""),46021.66666666667)</f>
        <v>46021.66667</v>
      </c>
      <c r="B227" s="2">
        <f>IFERROR(__xludf.DUMMYFUNCTION("""COMPUTED_VALUE"""),188.24)</f>
        <v>188.24</v>
      </c>
      <c r="C227" s="1">
        <f>IFERROR(__xludf.DUMMYFUNCTION("""COMPUTED_VALUE"""),188.99)</f>
        <v>188.99</v>
      </c>
      <c r="D227" s="1">
        <f>IFERROR(__xludf.DUMMYFUNCTION("""COMPUTED_VALUE"""),186.93)</f>
        <v>186.93</v>
      </c>
      <c r="E227" s="1">
        <f>IFERROR(__xludf.DUMMYFUNCTION("""COMPUTED_VALUE"""),187.54)</f>
        <v>187.54</v>
      </c>
      <c r="F227" s="1">
        <f>IFERROR(__xludf.DUMMYFUNCTION("""COMPUTED_VALUE"""),9.7687274E7)</f>
        <v>97687274</v>
      </c>
    </row>
    <row r="228">
      <c r="A228" s="3">
        <f>IFERROR(__xludf.DUMMYFUNCTION("""COMPUTED_VALUE"""),46022.66666666667)</f>
        <v>46022.66667</v>
      </c>
      <c r="B228" s="2">
        <f>IFERROR(__xludf.DUMMYFUNCTION("""COMPUTED_VALUE"""),189.57)</f>
        <v>189.57</v>
      </c>
      <c r="C228" s="1">
        <f>IFERROR(__xludf.DUMMYFUNCTION("""COMPUTED_VALUE"""),190.56)</f>
        <v>190.56</v>
      </c>
      <c r="D228" s="1">
        <f>IFERROR(__xludf.DUMMYFUNCTION("""COMPUTED_VALUE"""),186.49)</f>
        <v>186.49</v>
      </c>
      <c r="E228" s="1">
        <f>IFERROR(__xludf.DUMMYFUNCTION("""COMPUTED_VALUE"""),186.5)</f>
        <v>186.5</v>
      </c>
      <c r="F228" s="1">
        <f>IFERROR(__xludf.DUMMYFUNCTION("""COMPUTED_VALUE"""),1.20100484E8)</f>
        <v>120100484</v>
      </c>
    </row>
    <row r="229">
      <c r="A229" s="3">
        <f>IFERROR(__xludf.DUMMYFUNCTION("""COMPUTED_VALUE"""),46024.66666666667)</f>
        <v>46024.66667</v>
      </c>
      <c r="B229" s="2">
        <f>IFERROR(__xludf.DUMMYFUNCTION("""COMPUTED_VALUE"""),189.84)</f>
        <v>189.84</v>
      </c>
      <c r="C229" s="1">
        <f>IFERROR(__xludf.DUMMYFUNCTION("""COMPUTED_VALUE"""),192.93)</f>
        <v>192.93</v>
      </c>
      <c r="D229" s="1">
        <f>IFERROR(__xludf.DUMMYFUNCTION("""COMPUTED_VALUE"""),188.26)</f>
        <v>188.26</v>
      </c>
      <c r="E229" s="1">
        <f>IFERROR(__xludf.DUMMYFUNCTION("""COMPUTED_VALUE"""),188.85)</f>
        <v>188.85</v>
      </c>
      <c r="F229" s="1">
        <f>IFERROR(__xludf.DUMMYFUNCTION("""COMPUTED_VALUE"""),1.48240462E8)</f>
        <v>148240462</v>
      </c>
    </row>
    <row r="230">
      <c r="A230" s="3">
        <f>IFERROR(__xludf.DUMMYFUNCTION("""COMPUTED_VALUE"""),46027.66666666667)</f>
        <v>46027.66667</v>
      </c>
      <c r="B230" s="2">
        <f>IFERROR(__xludf.DUMMYFUNCTION("""COMPUTED_VALUE"""),191.76)</f>
        <v>191.76</v>
      </c>
      <c r="C230" s="1">
        <f>IFERROR(__xludf.DUMMYFUNCTION("""COMPUTED_VALUE"""),193.63)</f>
        <v>193.63</v>
      </c>
      <c r="D230" s="1">
        <f>IFERROR(__xludf.DUMMYFUNCTION("""COMPUTED_VALUE"""),186.15)</f>
        <v>186.15</v>
      </c>
      <c r="E230" s="1">
        <f>IFERROR(__xludf.DUMMYFUNCTION("""COMPUTED_VALUE"""),188.12)</f>
        <v>188.12</v>
      </c>
      <c r="F230" s="1">
        <f>IFERROR(__xludf.DUMMYFUNCTION("""COMPUTED_VALUE"""),1.83529733E8)</f>
        <v>183529733</v>
      </c>
    </row>
    <row r="231">
      <c r="A231" s="3">
        <f>IFERROR(__xludf.DUMMYFUNCTION("""COMPUTED_VALUE"""),46028.66666666667)</f>
        <v>46028.66667</v>
      </c>
      <c r="B231" s="2">
        <f>IFERROR(__xludf.DUMMYFUNCTION("""COMPUTED_VALUE"""),190.52)</f>
        <v>190.52</v>
      </c>
      <c r="C231" s="1">
        <f>IFERROR(__xludf.DUMMYFUNCTION("""COMPUTED_VALUE"""),192.17)</f>
        <v>192.17</v>
      </c>
      <c r="D231" s="1">
        <f>IFERROR(__xludf.DUMMYFUNCTION("""COMPUTED_VALUE"""),186.82)</f>
        <v>186.82</v>
      </c>
      <c r="E231" s="1">
        <f>IFERROR(__xludf.DUMMYFUNCTION("""COMPUTED_VALUE"""),187.24)</f>
        <v>187.24</v>
      </c>
      <c r="F231" s="1">
        <f>IFERROR(__xludf.DUMMYFUNCTION("""COMPUTED_VALUE"""),1.76862604E8)</f>
        <v>176862604</v>
      </c>
    </row>
    <row r="232">
      <c r="A232" s="3">
        <f>IFERROR(__xludf.DUMMYFUNCTION("""COMPUTED_VALUE"""),46029.66666666667)</f>
        <v>46029.66667</v>
      </c>
      <c r="B232" s="2">
        <f>IFERROR(__xludf.DUMMYFUNCTION("""COMPUTED_VALUE"""),188.57)</f>
        <v>188.57</v>
      </c>
      <c r="C232" s="1">
        <f>IFERROR(__xludf.DUMMYFUNCTION("""COMPUTED_VALUE"""),191.37)</f>
        <v>191.37</v>
      </c>
      <c r="D232" s="1">
        <f>IFERROR(__xludf.DUMMYFUNCTION("""COMPUTED_VALUE"""),186.56)</f>
        <v>186.56</v>
      </c>
      <c r="E232" s="1">
        <f>IFERROR(__xludf.DUMMYFUNCTION("""COMPUTED_VALUE"""),189.11)</f>
        <v>189.11</v>
      </c>
      <c r="F232" s="1">
        <f>IFERROR(__xludf.DUMMYFUNCTION("""COMPUTED_VALUE"""),1.53543174E8)</f>
        <v>153543174</v>
      </c>
    </row>
    <row r="233">
      <c r="A233" s="3">
        <f>IFERROR(__xludf.DUMMYFUNCTION("""COMPUTED_VALUE"""),46030.66666666667)</f>
        <v>46030.66667</v>
      </c>
      <c r="B233" s="2">
        <f>IFERROR(__xludf.DUMMYFUNCTION("""COMPUTED_VALUE"""),189.11)</f>
        <v>189.11</v>
      </c>
      <c r="C233" s="1">
        <f>IFERROR(__xludf.DUMMYFUNCTION("""COMPUTED_VALUE"""),189.55)</f>
        <v>189.55</v>
      </c>
      <c r="D233" s="1">
        <f>IFERROR(__xludf.DUMMYFUNCTION("""COMPUTED_VALUE"""),183.71)</f>
        <v>183.71</v>
      </c>
      <c r="E233" s="1">
        <f>IFERROR(__xludf.DUMMYFUNCTION("""COMPUTED_VALUE"""),185.04)</f>
        <v>185.04</v>
      </c>
      <c r="F233" s="1">
        <f>IFERROR(__xludf.DUMMYFUNCTION("""COMPUTED_VALUE"""),1.72457048E8)</f>
        <v>172457048</v>
      </c>
    </row>
    <row r="234">
      <c r="A234" s="3">
        <f>IFERROR(__xludf.DUMMYFUNCTION("""COMPUTED_VALUE"""),46031.66666666667)</f>
        <v>46031.66667</v>
      </c>
      <c r="B234" s="2">
        <f>IFERROR(__xludf.DUMMYFUNCTION("""COMPUTED_VALUE"""),185.08)</f>
        <v>185.08</v>
      </c>
      <c r="C234" s="1">
        <f>IFERROR(__xludf.DUMMYFUNCTION("""COMPUTED_VALUE"""),186.34)</f>
        <v>186.34</v>
      </c>
      <c r="D234" s="1">
        <f>IFERROR(__xludf.DUMMYFUNCTION("""COMPUTED_VALUE"""),183.67)</f>
        <v>183.67</v>
      </c>
      <c r="E234" s="1">
        <f>IFERROR(__xludf.DUMMYFUNCTION("""COMPUTED_VALUE"""),184.86)</f>
        <v>184.86</v>
      </c>
      <c r="F234" s="1">
        <f>IFERROR(__xludf.DUMMYFUNCTION("""COMPUTED_VALUE"""),1.31327534E8)</f>
        <v>131327534</v>
      </c>
    </row>
    <row r="235">
      <c r="A235" s="3">
        <f>IFERROR(__xludf.DUMMYFUNCTION("""COMPUTED_VALUE"""),46034.66666666667)</f>
        <v>46034.66667</v>
      </c>
      <c r="B235" s="2">
        <f>IFERROR(__xludf.DUMMYFUNCTION("""COMPUTED_VALUE"""),183.22)</f>
        <v>183.22</v>
      </c>
      <c r="C235" s="1">
        <f>IFERROR(__xludf.DUMMYFUNCTION("""COMPUTED_VALUE"""),187.12)</f>
        <v>187.12</v>
      </c>
      <c r="D235" s="1">
        <f>IFERROR(__xludf.DUMMYFUNCTION("""COMPUTED_VALUE"""),183.02)</f>
        <v>183.02</v>
      </c>
      <c r="E235" s="1">
        <f>IFERROR(__xludf.DUMMYFUNCTION("""COMPUTED_VALUE"""),184.94)</f>
        <v>184.94</v>
      </c>
      <c r="F235" s="1">
        <f>IFERROR(__xludf.DUMMYFUNCTION("""COMPUTED_VALUE"""),1.37968453E8)</f>
        <v>137968453</v>
      </c>
    </row>
    <row r="236">
      <c r="A236" s="3">
        <f>IFERROR(__xludf.DUMMYFUNCTION("""COMPUTED_VALUE"""),46035.66666666667)</f>
        <v>46035.66667</v>
      </c>
      <c r="B236" s="2">
        <f>IFERROR(__xludf.DUMMYFUNCTION("""COMPUTED_VALUE"""),185.0)</f>
        <v>185</v>
      </c>
      <c r="C236" s="1">
        <f>IFERROR(__xludf.DUMMYFUNCTION("""COMPUTED_VALUE"""),188.11)</f>
        <v>188.11</v>
      </c>
      <c r="D236" s="1">
        <f>IFERROR(__xludf.DUMMYFUNCTION("""COMPUTED_VALUE"""),183.4)</f>
        <v>183.4</v>
      </c>
      <c r="E236" s="1">
        <f>IFERROR(__xludf.DUMMYFUNCTION("""COMPUTED_VALUE"""),185.81)</f>
        <v>185.81</v>
      </c>
      <c r="F236" s="1">
        <f>IFERROR(__xludf.DUMMYFUNCTION("""COMPUTED_VALUE"""),1.60128939E8)</f>
        <v>160128939</v>
      </c>
    </row>
    <row r="237">
      <c r="A237" s="3">
        <f>IFERROR(__xludf.DUMMYFUNCTION("""COMPUTED_VALUE"""),46036.66666666667)</f>
        <v>46036.66667</v>
      </c>
      <c r="B237" s="2">
        <f>IFERROR(__xludf.DUMMYFUNCTION("""COMPUTED_VALUE"""),184.32)</f>
        <v>184.32</v>
      </c>
      <c r="C237" s="1">
        <f>IFERROR(__xludf.DUMMYFUNCTION("""COMPUTED_VALUE"""),184.46)</f>
        <v>184.46</v>
      </c>
      <c r="D237" s="1">
        <f>IFERROR(__xludf.DUMMYFUNCTION("""COMPUTED_VALUE"""),180.8)</f>
        <v>180.8</v>
      </c>
      <c r="E237" s="1">
        <f>IFERROR(__xludf.DUMMYFUNCTION("""COMPUTED_VALUE"""),183.14)</f>
        <v>183.14</v>
      </c>
      <c r="F237" s="1">
        <f>IFERROR(__xludf.DUMMYFUNCTION("""COMPUTED_VALUE"""),1.59586135E8)</f>
        <v>159586135</v>
      </c>
    </row>
    <row r="238">
      <c r="A238" s="3">
        <f>IFERROR(__xludf.DUMMYFUNCTION("""COMPUTED_VALUE"""),46037.66666666667)</f>
        <v>46037.66667</v>
      </c>
      <c r="B238" s="2">
        <f>IFERROR(__xludf.DUMMYFUNCTION("""COMPUTED_VALUE"""),186.5)</f>
        <v>186.5</v>
      </c>
      <c r="C238" s="1">
        <f>IFERROR(__xludf.DUMMYFUNCTION("""COMPUTED_VALUE"""),189.7)</f>
        <v>189.7</v>
      </c>
      <c r="D238" s="1">
        <f>IFERROR(__xludf.DUMMYFUNCTION("""COMPUTED_VALUE"""),186.33)</f>
        <v>186.33</v>
      </c>
      <c r="E238" s="1">
        <f>IFERROR(__xludf.DUMMYFUNCTION("""COMPUTED_VALUE"""),187.05)</f>
        <v>187.05</v>
      </c>
      <c r="F238" s="1">
        <f>IFERROR(__xludf.DUMMYFUNCTION("""COMPUTED_VALUE"""),2.06188642E8)</f>
        <v>206188642</v>
      </c>
    </row>
    <row r="239">
      <c r="A239" s="3">
        <f>IFERROR(__xludf.DUMMYFUNCTION("""COMPUTED_VALUE"""),46038.66666666667)</f>
        <v>46038.66667</v>
      </c>
      <c r="B239" s="2">
        <f>IFERROR(__xludf.DUMMYFUNCTION("""COMPUTED_VALUE"""),189.08)</f>
        <v>189.08</v>
      </c>
      <c r="C239" s="1">
        <f>IFERROR(__xludf.DUMMYFUNCTION("""COMPUTED_VALUE"""),190.44)</f>
        <v>190.44</v>
      </c>
      <c r="D239" s="1">
        <f>IFERROR(__xludf.DUMMYFUNCTION("""COMPUTED_VALUE"""),186.08)</f>
        <v>186.08</v>
      </c>
      <c r="E239" s="1">
        <f>IFERROR(__xludf.DUMMYFUNCTION("""COMPUTED_VALUE"""),186.23)</f>
        <v>186.23</v>
      </c>
      <c r="F239" s="1">
        <f>IFERROR(__xludf.DUMMYFUNCTION("""COMPUTED_VALUE"""),1.87967169E8)</f>
        <v>187967169</v>
      </c>
    </row>
    <row r="240">
      <c r="A240" s="3">
        <f>IFERROR(__xludf.DUMMYFUNCTION("""COMPUTED_VALUE"""),46042.66666666667)</f>
        <v>46042.66667</v>
      </c>
      <c r="B240" s="2">
        <f>IFERROR(__xludf.DUMMYFUNCTION("""COMPUTED_VALUE"""),181.9)</f>
        <v>181.9</v>
      </c>
      <c r="C240" s="1">
        <f>IFERROR(__xludf.DUMMYFUNCTION("""COMPUTED_VALUE"""),182.38)</f>
        <v>182.38</v>
      </c>
      <c r="D240" s="1">
        <f>IFERROR(__xludf.DUMMYFUNCTION("""COMPUTED_VALUE"""),177.61)</f>
        <v>177.61</v>
      </c>
      <c r="E240" s="1">
        <f>IFERROR(__xludf.DUMMYFUNCTION("""COMPUTED_VALUE"""),178.07)</f>
        <v>178.07</v>
      </c>
      <c r="F240" s="1">
        <f>IFERROR(__xludf.DUMMYFUNCTION("""COMPUTED_VALUE"""),2.23345257E8)</f>
        <v>223345257</v>
      </c>
    </row>
    <row r="241">
      <c r="A241" s="3">
        <f>IFERROR(__xludf.DUMMYFUNCTION("""COMPUTED_VALUE"""),46043.66666666667)</f>
        <v>46043.66667</v>
      </c>
      <c r="B241" s="2">
        <f>IFERROR(__xludf.DUMMYFUNCTION("""COMPUTED_VALUE"""),179.05)</f>
        <v>179.05</v>
      </c>
      <c r="C241" s="1">
        <f>IFERROR(__xludf.DUMMYFUNCTION("""COMPUTED_VALUE"""),185.38)</f>
        <v>185.38</v>
      </c>
      <c r="D241" s="1">
        <f>IFERROR(__xludf.DUMMYFUNCTION("""COMPUTED_VALUE"""),178.4)</f>
        <v>178.4</v>
      </c>
      <c r="E241" s="1">
        <f>IFERROR(__xludf.DUMMYFUNCTION("""COMPUTED_VALUE"""),183.32)</f>
        <v>183.32</v>
      </c>
      <c r="F241" s="1">
        <f>IFERROR(__xludf.DUMMYFUNCTION("""COMPUTED_VALUE"""),2.00380959E8)</f>
        <v>200380959</v>
      </c>
    </row>
    <row r="242">
      <c r="A242" s="3">
        <f>IFERROR(__xludf.DUMMYFUNCTION("""COMPUTED_VALUE"""),46044.66666666667)</f>
        <v>46044.66667</v>
      </c>
      <c r="B242" s="2">
        <f>IFERROR(__xludf.DUMMYFUNCTION("""COMPUTED_VALUE"""),184.75)</f>
        <v>184.75</v>
      </c>
      <c r="C242" s="1">
        <f>IFERROR(__xludf.DUMMYFUNCTION("""COMPUTED_VALUE"""),186.17)</f>
        <v>186.17</v>
      </c>
      <c r="D242" s="1">
        <f>IFERROR(__xludf.DUMMYFUNCTION("""COMPUTED_VALUE"""),183.93)</f>
        <v>183.93</v>
      </c>
      <c r="E242" s="1">
        <f>IFERROR(__xludf.DUMMYFUNCTION("""COMPUTED_VALUE"""),184.84)</f>
        <v>184.84</v>
      </c>
      <c r="F242" s="1">
        <f>IFERROR(__xludf.DUMMYFUNCTION("""COMPUTED_VALUE"""),1.39636626E8)</f>
        <v>139636626</v>
      </c>
    </row>
    <row r="243">
      <c r="A243" s="3">
        <f>IFERROR(__xludf.DUMMYFUNCTION("""COMPUTED_VALUE"""),46045.66666666667)</f>
        <v>46045.66667</v>
      </c>
      <c r="B243" s="2">
        <f>IFERROR(__xludf.DUMMYFUNCTION("""COMPUTED_VALUE"""),187.5)</f>
        <v>187.5</v>
      </c>
      <c r="C243" s="1">
        <f>IFERROR(__xludf.DUMMYFUNCTION("""COMPUTED_VALUE"""),189.6)</f>
        <v>189.6</v>
      </c>
      <c r="D243" s="1">
        <f>IFERROR(__xludf.DUMMYFUNCTION("""COMPUTED_VALUE"""),186.82)</f>
        <v>186.82</v>
      </c>
      <c r="E243" s="1">
        <f>IFERROR(__xludf.DUMMYFUNCTION("""COMPUTED_VALUE"""),187.67)</f>
        <v>187.67</v>
      </c>
      <c r="F243" s="1">
        <f>IFERROR(__xludf.DUMMYFUNCTION("""COMPUTED_VALUE"""),1.42748076E8)</f>
        <v>142748076</v>
      </c>
    </row>
    <row r="244">
      <c r="A244" s="3">
        <f>IFERROR(__xludf.DUMMYFUNCTION("""COMPUTED_VALUE"""),46048.66666666667)</f>
        <v>46048.66667</v>
      </c>
      <c r="B244" s="2">
        <f>IFERROR(__xludf.DUMMYFUNCTION("""COMPUTED_VALUE"""),187.16)</f>
        <v>187.16</v>
      </c>
      <c r="C244" s="1">
        <f>IFERROR(__xludf.DUMMYFUNCTION("""COMPUTED_VALUE"""),189.12)</f>
        <v>189.12</v>
      </c>
      <c r="D244" s="1">
        <f>IFERROR(__xludf.DUMMYFUNCTION("""COMPUTED_VALUE"""),185.99)</f>
        <v>185.99</v>
      </c>
      <c r="E244" s="1">
        <f>IFERROR(__xludf.DUMMYFUNCTION("""COMPUTED_VALUE"""),186.47)</f>
        <v>186.47</v>
      </c>
      <c r="F244" s="1">
        <f>IFERROR(__xludf.DUMMYFUNCTION("""COMPUTED_VALUE"""),1.24799649E8)</f>
        <v>124799649</v>
      </c>
    </row>
    <row r="245">
      <c r="A245" s="3">
        <f>IFERROR(__xludf.DUMMYFUNCTION("""COMPUTED_VALUE"""),46049.66666666667)</f>
        <v>46049.66667</v>
      </c>
      <c r="B245" s="2">
        <f>IFERROR(__xludf.DUMMYFUNCTION("""COMPUTED_VALUE"""),187.24)</f>
        <v>187.24</v>
      </c>
      <c r="C245" s="1">
        <f>IFERROR(__xludf.DUMMYFUNCTION("""COMPUTED_VALUE"""),190.0)</f>
        <v>190</v>
      </c>
      <c r="D245" s="1">
        <f>IFERROR(__xludf.DUMMYFUNCTION("""COMPUTED_VALUE"""),185.7)</f>
        <v>185.7</v>
      </c>
      <c r="E245" s="1">
        <f>IFERROR(__xludf.DUMMYFUNCTION("""COMPUTED_VALUE"""),188.52)</f>
        <v>188.52</v>
      </c>
      <c r="F245" s="1">
        <f>IFERROR(__xludf.DUMMYFUNCTION("""COMPUTED_VALUE"""),1.43711557E8)</f>
        <v>143711557</v>
      </c>
    </row>
    <row r="246">
      <c r="A246" s="3">
        <f>IFERROR(__xludf.DUMMYFUNCTION("""COMPUTED_VALUE"""),46050.66666666667)</f>
        <v>46050.66667</v>
      </c>
      <c r="B246" s="2">
        <f>IFERROR(__xludf.DUMMYFUNCTION("""COMPUTED_VALUE"""),191.27)</f>
        <v>191.27</v>
      </c>
      <c r="C246" s="1">
        <f>IFERROR(__xludf.DUMMYFUNCTION("""COMPUTED_VALUE"""),192.35)</f>
        <v>192.35</v>
      </c>
      <c r="D246" s="1">
        <f>IFERROR(__xludf.DUMMYFUNCTION("""COMPUTED_VALUE"""),189.84)</f>
        <v>189.84</v>
      </c>
      <c r="E246" s="1">
        <f>IFERROR(__xludf.DUMMYFUNCTION("""COMPUTED_VALUE"""),191.52)</f>
        <v>191.52</v>
      </c>
      <c r="F246" s="1">
        <f>IFERROR(__xludf.DUMMYFUNCTION("""COMPUTED_VALUE"""),1.48552677E8)</f>
        <v>148552677</v>
      </c>
    </row>
    <row r="247">
      <c r="A247" s="3">
        <f>IFERROR(__xludf.DUMMYFUNCTION("""COMPUTED_VALUE"""),46051.66666666667)</f>
        <v>46051.66667</v>
      </c>
      <c r="B247" s="2">
        <f>IFERROR(__xludf.DUMMYFUNCTION("""COMPUTED_VALUE"""),191.34)</f>
        <v>191.34</v>
      </c>
      <c r="C247" s="1">
        <f>IFERROR(__xludf.DUMMYFUNCTION("""COMPUTED_VALUE"""),193.48)</f>
        <v>193.48</v>
      </c>
      <c r="D247" s="1">
        <f>IFERROR(__xludf.DUMMYFUNCTION("""COMPUTED_VALUE"""),186.06)</f>
        <v>186.06</v>
      </c>
      <c r="E247" s="1">
        <f>IFERROR(__xludf.DUMMYFUNCTION("""COMPUTED_VALUE"""),192.51)</f>
        <v>192.51</v>
      </c>
      <c r="F247" s="1">
        <f>IFERROR(__xludf.DUMMYFUNCTION("""COMPUTED_VALUE"""),1.71764375E8)</f>
        <v>171764375</v>
      </c>
    </row>
    <row r="248">
      <c r="A248" s="3">
        <f>IFERROR(__xludf.DUMMYFUNCTION("""COMPUTED_VALUE"""),46052.66666666667)</f>
        <v>46052.66667</v>
      </c>
      <c r="B248" s="2">
        <f>IFERROR(__xludf.DUMMYFUNCTION("""COMPUTED_VALUE"""),191.21)</f>
        <v>191.21</v>
      </c>
      <c r="C248" s="1">
        <f>IFERROR(__xludf.DUMMYFUNCTION("""COMPUTED_VALUE"""),194.49)</f>
        <v>194.49</v>
      </c>
      <c r="D248" s="1">
        <f>IFERROR(__xludf.DUMMYFUNCTION("""COMPUTED_VALUE"""),189.47)</f>
        <v>189.47</v>
      </c>
      <c r="E248" s="1">
        <f>IFERROR(__xludf.DUMMYFUNCTION("""COMPUTED_VALUE"""),191.13)</f>
        <v>191.13</v>
      </c>
      <c r="F248" s="1">
        <f>IFERROR(__xludf.DUMMYFUNCTION("""COMPUTED_VALUE"""),1.79489463E8)</f>
        <v>179489463</v>
      </c>
    </row>
    <row r="249">
      <c r="A249" s="3">
        <f>IFERROR(__xludf.DUMMYFUNCTION("""COMPUTED_VALUE"""),46055.66666666667)</f>
        <v>46055.66667</v>
      </c>
      <c r="B249" s="2">
        <f>IFERROR(__xludf.DUMMYFUNCTION("""COMPUTED_VALUE"""),187.2)</f>
        <v>187.2</v>
      </c>
      <c r="C249" s="1">
        <f>IFERROR(__xludf.DUMMYFUNCTION("""COMPUTED_VALUE"""),190.3)</f>
        <v>190.3</v>
      </c>
      <c r="D249" s="1">
        <f>IFERROR(__xludf.DUMMYFUNCTION("""COMPUTED_VALUE"""),184.88)</f>
        <v>184.88</v>
      </c>
      <c r="E249" s="1">
        <f>IFERROR(__xludf.DUMMYFUNCTION("""COMPUTED_VALUE"""),185.61)</f>
        <v>185.61</v>
      </c>
      <c r="F249" s="1">
        <f>IFERROR(__xludf.DUMMYFUNCTION("""COMPUTED_VALUE"""),1.65794054E8)</f>
        <v>165794054</v>
      </c>
    </row>
    <row r="250">
      <c r="A250" s="3">
        <f>IFERROR(__xludf.DUMMYFUNCTION("""COMPUTED_VALUE"""),46056.66666666667)</f>
        <v>46056.66667</v>
      </c>
      <c r="B250" s="2">
        <f>IFERROR(__xludf.DUMMYFUNCTION("""COMPUTED_VALUE"""),186.24)</f>
        <v>186.24</v>
      </c>
      <c r="C250" s="1">
        <f>IFERROR(__xludf.DUMMYFUNCTION("""COMPUTED_VALUE"""),186.27)</f>
        <v>186.27</v>
      </c>
      <c r="D250" s="1">
        <f>IFERROR(__xludf.DUMMYFUNCTION("""COMPUTED_VALUE"""),176.23)</f>
        <v>176.23</v>
      </c>
      <c r="E250" s="1">
        <f>IFERROR(__xludf.DUMMYFUNCTION("""COMPUTED_VALUE"""),180.34)</f>
        <v>180.34</v>
      </c>
      <c r="F250" s="1">
        <f>IFERROR(__xludf.DUMMYFUNCTION("""COMPUTED_VALUE"""),2.04019589E8)</f>
        <v>204019589</v>
      </c>
    </row>
    <row r="251">
      <c r="A251" s="3">
        <f>IFERROR(__xludf.DUMMYFUNCTION("""COMPUTED_VALUE"""),46057.66666666667)</f>
        <v>46057.66667</v>
      </c>
      <c r="B251" s="2">
        <f>IFERROR(__xludf.DUMMYFUNCTION("""COMPUTED_VALUE"""),179.46)</f>
        <v>179.46</v>
      </c>
      <c r="C251" s="1">
        <f>IFERROR(__xludf.DUMMYFUNCTION("""COMPUTED_VALUE"""),179.58)</f>
        <v>179.58</v>
      </c>
      <c r="D251" s="1">
        <f>IFERROR(__xludf.DUMMYFUNCTION("""COMPUTED_VALUE"""),171.91)</f>
        <v>171.91</v>
      </c>
      <c r="E251" s="1">
        <f>IFERROR(__xludf.DUMMYFUNCTION("""COMPUTED_VALUE"""),174.19)</f>
        <v>174.19</v>
      </c>
      <c r="F251" s="1">
        <f>IFERROR(__xludf.DUMMYFUNCTION("""COMPUTED_VALUE"""),2.07014116E8)</f>
        <v>207014116</v>
      </c>
    </row>
    <row r="252">
      <c r="A252" s="3">
        <f>IFERROR(__xludf.DUMMYFUNCTION("""COMPUTED_VALUE"""),46058.66666666667)</f>
        <v>46058.66667</v>
      </c>
      <c r="B252" s="2">
        <f>IFERROR(__xludf.DUMMYFUNCTION("""COMPUTED_VALUE"""),174.93)</f>
        <v>174.93</v>
      </c>
      <c r="C252" s="1">
        <f>IFERROR(__xludf.DUMMYFUNCTION("""COMPUTED_VALUE"""),176.82)</f>
        <v>176.82</v>
      </c>
      <c r="D252" s="1">
        <f>IFERROR(__xludf.DUMMYFUNCTION("""COMPUTED_VALUE"""),171.03)</f>
        <v>171.03</v>
      </c>
      <c r="E252" s="1">
        <f>IFERROR(__xludf.DUMMYFUNCTION("""COMPUTED_VALUE"""),171.88)</f>
        <v>171.88</v>
      </c>
      <c r="F252" s="1">
        <f>IFERROR(__xludf.DUMMYFUNCTION("""COMPUTED_VALUE"""),2.0631289E8)</f>
        <v>206312890</v>
      </c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  <row r="1069">
      <c r="B1069" s="2"/>
    </row>
    <row r="1070">
      <c r="B1070" s="2"/>
    </row>
    <row r="1071">
      <c r="B1071" s="2"/>
    </row>
    <row r="1072">
      <c r="B1072" s="2"/>
    </row>
    <row r="1073">
      <c r="B1073" s="2"/>
    </row>
    <row r="1074">
      <c r="B1074" s="2"/>
    </row>
    <row r="1075">
      <c r="B1075" s="2"/>
    </row>
    <row r="1076">
      <c r="B1076" s="2"/>
    </row>
    <row r="1077">
      <c r="B1077" s="2"/>
    </row>
    <row r="1078">
      <c r="B1078" s="2"/>
    </row>
    <row r="1079">
      <c r="B1079" s="2"/>
    </row>
    <row r="1080">
      <c r="B1080" s="2"/>
    </row>
    <row r="1081">
      <c r="B1081" s="2"/>
    </row>
    <row r="1082">
      <c r="B1082" s="2"/>
    </row>
    <row r="1083">
      <c r="B1083" s="2"/>
    </row>
    <row r="1084">
      <c r="B1084" s="2"/>
    </row>
    <row r="1085">
      <c r="B1085" s="2"/>
    </row>
    <row r="1086">
      <c r="B1086" s="2"/>
    </row>
    <row r="1087">
      <c r="B1087" s="2"/>
    </row>
    <row r="1088">
      <c r="B1088" s="2"/>
    </row>
    <row r="1089">
      <c r="B1089" s="2"/>
    </row>
    <row r="1090">
      <c r="B1090" s="2"/>
    </row>
    <row r="1091">
      <c r="B1091" s="2"/>
    </row>
    <row r="1092">
      <c r="B1092" s="2"/>
    </row>
    <row r="1093">
      <c r="B1093" s="2"/>
    </row>
    <row r="1094">
      <c r="B1094" s="2"/>
    </row>
    <row r="1095">
      <c r="B1095" s="2"/>
    </row>
    <row r="1096">
      <c r="B1096" s="2"/>
    </row>
    <row r="1097">
      <c r="B1097" s="2"/>
    </row>
    <row r="1098">
      <c r="B1098" s="2"/>
    </row>
    <row r="1099">
      <c r="B1099" s="2"/>
    </row>
    <row r="1100">
      <c r="B1100" s="2"/>
    </row>
    <row r="1101">
      <c r="B1101" s="2"/>
    </row>
    <row r="1102">
      <c r="B1102" s="2"/>
    </row>
    <row r="1103">
      <c r="B1103" s="2"/>
    </row>
    <row r="1104">
      <c r="B1104" s="2"/>
    </row>
    <row r="1105">
      <c r="B1105" s="2"/>
    </row>
    <row r="1106">
      <c r="B1106" s="2"/>
    </row>
    <row r="1107">
      <c r="B1107" s="2"/>
    </row>
    <row r="1108">
      <c r="B1108" s="2"/>
    </row>
    <row r="1109">
      <c r="B1109" s="2"/>
    </row>
    <row r="1110">
      <c r="B1110" s="2"/>
    </row>
    <row r="1111">
      <c r="B1111" s="2"/>
    </row>
    <row r="1112">
      <c r="B1112" s="2"/>
    </row>
    <row r="1113">
      <c r="B1113" s="2"/>
    </row>
    <row r="1114">
      <c r="B1114" s="2"/>
    </row>
    <row r="1115">
      <c r="B1115" s="2"/>
    </row>
    <row r="1116">
      <c r="B1116" s="2"/>
    </row>
    <row r="1117">
      <c r="B1117" s="2"/>
    </row>
    <row r="1118">
      <c r="B1118" s="2"/>
    </row>
    <row r="1119">
      <c r="B1119" s="2"/>
    </row>
    <row r="1120">
      <c r="B1120" s="2"/>
    </row>
    <row r="1121">
      <c r="B1121" s="2"/>
    </row>
    <row r="1122">
      <c r="B1122" s="2"/>
    </row>
    <row r="1123">
      <c r="B1123" s="2"/>
    </row>
    <row r="1124">
      <c r="B1124" s="2"/>
    </row>
    <row r="1125">
      <c r="B1125" s="2"/>
    </row>
    <row r="1126">
      <c r="B1126" s="2"/>
    </row>
    <row r="1127">
      <c r="B1127" s="2"/>
    </row>
    <row r="1128">
      <c r="B1128" s="2"/>
    </row>
    <row r="1129">
      <c r="B1129" s="2"/>
    </row>
    <row r="1130">
      <c r="B1130" s="2"/>
    </row>
    <row r="1131">
      <c r="B1131" s="2"/>
    </row>
    <row r="1132">
      <c r="B1132" s="2"/>
    </row>
    <row r="1133">
      <c r="B1133" s="2"/>
    </row>
    <row r="1134">
      <c r="B1134" s="2"/>
    </row>
    <row r="1135">
      <c r="B1135" s="2"/>
    </row>
    <row r="1136">
      <c r="B1136" s="2"/>
    </row>
    <row r="1137">
      <c r="B1137" s="2"/>
    </row>
    <row r="1138">
      <c r="B1138" s="2"/>
    </row>
    <row r="1139">
      <c r="B1139" s="2"/>
    </row>
    <row r="1140">
      <c r="B1140" s="2"/>
    </row>
    <row r="1141">
      <c r="B1141" s="2"/>
    </row>
    <row r="1142">
      <c r="B1142" s="2"/>
    </row>
    <row r="1143">
      <c r="B1143" s="2"/>
    </row>
    <row r="1144">
      <c r="B1144" s="2"/>
    </row>
    <row r="1145">
      <c r="B1145" s="2"/>
    </row>
    <row r="1146">
      <c r="B1146" s="2"/>
    </row>
    <row r="1147">
      <c r="B1147" s="2"/>
    </row>
    <row r="1148">
      <c r="B1148" s="2"/>
    </row>
    <row r="1149">
      <c r="B1149" s="2"/>
    </row>
    <row r="1150">
      <c r="B1150" s="2"/>
    </row>
    <row r="1151">
      <c r="B1151" s="2"/>
    </row>
    <row r="1152">
      <c r="B1152" s="2"/>
    </row>
    <row r="1153">
      <c r="B1153" s="2"/>
    </row>
    <row r="1154">
      <c r="B1154" s="2"/>
    </row>
    <row r="1155">
      <c r="B1155" s="2"/>
    </row>
    <row r="1156">
      <c r="B1156" s="2"/>
    </row>
    <row r="1157">
      <c r="B1157" s="2"/>
    </row>
    <row r="1158">
      <c r="B1158" s="2"/>
    </row>
    <row r="1159">
      <c r="B1159" s="2"/>
    </row>
    <row r="1160">
      <c r="B1160" s="2"/>
    </row>
    <row r="1161">
      <c r="B1161" s="2"/>
    </row>
    <row r="1162">
      <c r="B1162" s="2"/>
    </row>
    <row r="1163">
      <c r="B1163" s="2"/>
    </row>
    <row r="1164">
      <c r="B1164" s="2"/>
    </row>
    <row r="1165">
      <c r="B1165" s="2"/>
    </row>
    <row r="1166">
      <c r="B1166" s="2"/>
    </row>
    <row r="1167">
      <c r="B1167" s="2"/>
    </row>
    <row r="1168">
      <c r="B1168" s="2"/>
    </row>
    <row r="1169">
      <c r="B1169" s="2"/>
    </row>
    <row r="1170">
      <c r="B1170" s="2"/>
    </row>
    <row r="1171">
      <c r="B1171" s="2"/>
    </row>
    <row r="1172">
      <c r="B1172" s="2"/>
    </row>
    <row r="1173">
      <c r="B1173" s="2"/>
    </row>
    <row r="1174">
      <c r="B1174" s="2"/>
    </row>
    <row r="1175">
      <c r="B1175" s="2"/>
    </row>
    <row r="1176">
      <c r="B1176" s="2"/>
    </row>
    <row r="1177">
      <c r="B1177" s="2"/>
    </row>
    <row r="1178">
      <c r="B1178" s="2"/>
    </row>
    <row r="1179">
      <c r="B1179" s="2"/>
    </row>
    <row r="1180">
      <c r="B1180" s="2"/>
    </row>
    <row r="1181">
      <c r="B1181" s="2"/>
    </row>
    <row r="1182">
      <c r="B1182" s="2"/>
    </row>
    <row r="1183">
      <c r="B1183" s="2"/>
    </row>
    <row r="1184">
      <c r="B1184" s="2"/>
    </row>
    <row r="1185">
      <c r="B1185" s="2"/>
    </row>
    <row r="1186">
      <c r="B1186" s="2"/>
    </row>
    <row r="1187">
      <c r="B1187" s="2"/>
    </row>
    <row r="1188">
      <c r="B1188" s="2"/>
    </row>
    <row r="1189">
      <c r="B1189" s="2"/>
    </row>
    <row r="1190">
      <c r="B1190" s="2"/>
    </row>
    <row r="1191">
      <c r="B1191" s="2"/>
    </row>
    <row r="1192">
      <c r="B1192" s="2"/>
    </row>
    <row r="1193">
      <c r="B1193" s="2"/>
    </row>
    <row r="1194">
      <c r="B1194" s="2"/>
    </row>
    <row r="1195">
      <c r="B1195" s="2"/>
    </row>
    <row r="1196">
      <c r="B1196" s="2"/>
    </row>
    <row r="1197">
      <c r="B1197" s="2"/>
    </row>
    <row r="1198">
      <c r="B1198" s="2"/>
    </row>
    <row r="1199">
      <c r="B1199" s="2"/>
    </row>
    <row r="1200">
      <c r="B1200" s="2"/>
    </row>
    <row r="1201">
      <c r="B1201" s="2"/>
    </row>
    <row r="1202">
      <c r="B1202" s="2"/>
    </row>
    <row r="1203">
      <c r="B1203" s="2"/>
    </row>
    <row r="1204">
      <c r="B1204" s="2"/>
    </row>
    <row r="1205">
      <c r="B1205" s="2"/>
    </row>
    <row r="1206">
      <c r="B1206" s="2"/>
    </row>
    <row r="1207">
      <c r="B1207" s="2"/>
    </row>
    <row r="1208">
      <c r="B1208" s="2"/>
    </row>
    <row r="1209">
      <c r="B1209" s="2"/>
    </row>
    <row r="1210">
      <c r="B1210" s="2"/>
    </row>
    <row r="1211">
      <c r="B1211" s="2"/>
    </row>
    <row r="1212">
      <c r="B1212" s="2"/>
    </row>
    <row r="1213">
      <c r="B1213" s="2"/>
    </row>
    <row r="1214">
      <c r="B1214" s="2"/>
    </row>
    <row r="1215">
      <c r="B1215" s="2"/>
    </row>
    <row r="1216">
      <c r="B1216" s="2"/>
    </row>
    <row r="1217">
      <c r="B1217" s="2"/>
    </row>
    <row r="1218">
      <c r="B1218" s="2"/>
    </row>
    <row r="1219">
      <c r="B1219" s="2"/>
    </row>
    <row r="1220">
      <c r="B1220" s="2"/>
    </row>
    <row r="1221">
      <c r="B1221" s="2"/>
    </row>
    <row r="1222">
      <c r="B1222" s="2"/>
    </row>
    <row r="1223">
      <c r="B1223" s="2"/>
    </row>
    <row r="1224">
      <c r="B1224" s="2"/>
    </row>
    <row r="1225">
      <c r="B1225" s="2"/>
    </row>
    <row r="1226">
      <c r="B1226" s="2"/>
    </row>
    <row r="1227">
      <c r="B1227" s="2"/>
    </row>
    <row r="1228">
      <c r="B1228" s="2"/>
    </row>
    <row r="1229">
      <c r="B1229" s="2"/>
    </row>
    <row r="1230">
      <c r="B1230" s="2"/>
    </row>
    <row r="1231">
      <c r="B1231" s="2"/>
    </row>
    <row r="1232">
      <c r="B1232" s="2"/>
    </row>
    <row r="1233">
      <c r="B1233" s="2"/>
    </row>
    <row r="1234">
      <c r="B1234" s="2"/>
    </row>
    <row r="1235">
      <c r="B1235" s="2"/>
    </row>
    <row r="1236">
      <c r="B1236" s="2"/>
    </row>
    <row r="1237">
      <c r="B1237" s="2"/>
    </row>
    <row r="1238">
      <c r="B1238" s="2"/>
    </row>
    <row r="1239">
      <c r="B1239" s="2"/>
    </row>
    <row r="1240">
      <c r="B1240" s="2"/>
    </row>
    <row r="1241">
      <c r="B1241" s="2"/>
    </row>
    <row r="1242">
      <c r="B1242" s="2"/>
    </row>
    <row r="1243">
      <c r="B1243" s="2"/>
    </row>
    <row r="1244">
      <c r="B1244" s="2"/>
    </row>
    <row r="1245">
      <c r="B1245" s="2"/>
    </row>
    <row r="1246">
      <c r="B1246" s="2"/>
    </row>
    <row r="1247">
      <c r="B1247" s="2"/>
    </row>
    <row r="1248">
      <c r="B1248" s="2"/>
    </row>
    <row r="1249">
      <c r="B1249" s="2"/>
    </row>
    <row r="1250">
      <c r="B1250" s="2"/>
    </row>
    <row r="1251">
      <c r="B1251" s="2"/>
    </row>
    <row r="1252">
      <c r="B1252" s="2"/>
    </row>
    <row r="1253">
      <c r="B1253" s="2"/>
    </row>
    <row r="1254">
      <c r="B1254" s="2"/>
    </row>
    <row r="1255">
      <c r="B1255" s="2"/>
    </row>
    <row r="1256">
      <c r="B1256" s="2"/>
    </row>
    <row r="1257">
      <c r="B1257" s="2"/>
    </row>
    <row r="1258">
      <c r="B1258" s="2"/>
    </row>
    <row r="1259">
      <c r="B1259" s="2"/>
    </row>
    <row r="1260">
      <c r="B1260" s="2"/>
    </row>
    <row r="1261">
      <c r="B1261" s="2"/>
    </row>
    <row r="1262">
      <c r="B1262" s="2"/>
    </row>
    <row r="1263">
      <c r="B1263" s="2"/>
    </row>
    <row r="1264">
      <c r="B1264" s="2"/>
    </row>
    <row r="1265">
      <c r="B1265" s="2"/>
    </row>
    <row r="1266">
      <c r="B1266" s="2"/>
    </row>
    <row r="1267">
      <c r="B1267" s="2"/>
    </row>
    <row r="1268">
      <c r="B1268" s="2"/>
    </row>
    <row r="1269">
      <c r="B1269" s="2"/>
    </row>
    <row r="1270">
      <c r="B1270" s="2"/>
    </row>
    <row r="1271">
      <c r="B1271" s="2"/>
    </row>
    <row r="1272">
      <c r="B1272" s="2"/>
    </row>
    <row r="1273">
      <c r="B1273" s="2"/>
    </row>
    <row r="1274">
      <c r="B1274" s="2"/>
    </row>
    <row r="1275">
      <c r="B1275" s="2"/>
    </row>
    <row r="1276">
      <c r="B1276" s="2"/>
    </row>
    <row r="1277">
      <c r="B1277" s="2"/>
    </row>
    <row r="1278">
      <c r="B1278" s="2"/>
    </row>
    <row r="1279">
      <c r="B1279" s="2"/>
    </row>
    <row r="1280">
      <c r="B1280" s="2"/>
    </row>
    <row r="1281">
      <c r="B1281" s="2"/>
    </row>
    <row r="1282">
      <c r="B1282" s="2"/>
    </row>
    <row r="1283">
      <c r="B1283" s="2"/>
    </row>
    <row r="1284">
      <c r="B1284" s="2"/>
    </row>
    <row r="1285">
      <c r="B1285" s="2"/>
    </row>
    <row r="1286">
      <c r="B1286" s="2"/>
    </row>
    <row r="1287">
      <c r="B1287" s="2"/>
    </row>
    <row r="1288">
      <c r="B1288" s="2"/>
    </row>
    <row r="1289">
      <c r="B1289" s="2"/>
    </row>
    <row r="1290">
      <c r="B1290" s="2"/>
    </row>
    <row r="1291">
      <c r="B1291" s="2"/>
    </row>
    <row r="1292">
      <c r="B1292" s="2"/>
    </row>
    <row r="1293">
      <c r="B1293" s="2"/>
    </row>
    <row r="1294">
      <c r="B1294" s="2"/>
    </row>
    <row r="1295">
      <c r="B1295" s="2"/>
    </row>
    <row r="1296">
      <c r="B1296" s="2"/>
    </row>
    <row r="1297">
      <c r="B1297" s="2"/>
    </row>
    <row r="1298">
      <c r="B1298" s="2"/>
    </row>
    <row r="1299">
      <c r="B1299" s="2"/>
    </row>
    <row r="1300">
      <c r="B1300" s="2"/>
    </row>
    <row r="1301">
      <c r="B1301" s="2"/>
    </row>
    <row r="1302">
      <c r="B1302" s="2"/>
    </row>
    <row r="1303">
      <c r="B1303" s="2"/>
    </row>
    <row r="1304">
      <c r="B1304" s="2"/>
    </row>
    <row r="1305">
      <c r="B1305" s="2"/>
    </row>
    <row r="1306">
      <c r="B1306" s="2"/>
    </row>
    <row r="1307">
      <c r="B1307" s="2"/>
    </row>
    <row r="1308">
      <c r="B1308" s="2"/>
    </row>
    <row r="1309">
      <c r="B1309" s="2"/>
    </row>
    <row r="1310">
      <c r="B1310" s="2"/>
    </row>
    <row r="1311">
      <c r="B1311" s="2"/>
    </row>
    <row r="1312">
      <c r="B1312" s="2"/>
    </row>
    <row r="1313">
      <c r="B1313" s="2"/>
    </row>
    <row r="1314">
      <c r="B1314" s="2"/>
    </row>
    <row r="1315">
      <c r="B1315" s="2"/>
    </row>
    <row r="1316">
      <c r="B1316" s="2"/>
    </row>
    <row r="1317">
      <c r="B1317" s="2"/>
    </row>
    <row r="1318">
      <c r="B1318" s="2"/>
    </row>
    <row r="1319">
      <c r="B1319" s="2"/>
    </row>
    <row r="1320">
      <c r="B1320" s="2"/>
    </row>
    <row r="1321">
      <c r="B1321" s="2"/>
    </row>
    <row r="1322">
      <c r="B1322" s="2"/>
    </row>
    <row r="1323">
      <c r="B1323" s="2"/>
    </row>
    <row r="1324">
      <c r="B1324" s="2"/>
    </row>
    <row r="1325">
      <c r="B1325" s="2"/>
    </row>
    <row r="1326">
      <c r="B1326" s="2"/>
    </row>
    <row r="1327">
      <c r="B1327" s="2"/>
    </row>
    <row r="1328">
      <c r="B1328" s="2"/>
    </row>
    <row r="1329">
      <c r="B1329" s="2"/>
    </row>
    <row r="1330">
      <c r="B1330" s="2"/>
    </row>
    <row r="1331">
      <c r="B1331" s="2"/>
    </row>
    <row r="1332">
      <c r="B1332" s="2"/>
    </row>
    <row r="1333">
      <c r="B1333" s="2"/>
    </row>
    <row r="1334">
      <c r="B1334" s="2"/>
    </row>
    <row r="1335">
      <c r="B1335" s="2"/>
    </row>
    <row r="1336">
      <c r="B1336" s="2"/>
    </row>
    <row r="1337">
      <c r="B1337" s="2"/>
    </row>
    <row r="1338">
      <c r="B1338" s="2"/>
    </row>
    <row r="1339">
      <c r="B1339" s="2"/>
    </row>
    <row r="1340">
      <c r="B1340" s="2"/>
    </row>
    <row r="1341">
      <c r="B1341" s="2"/>
    </row>
    <row r="1342">
      <c r="B1342" s="2"/>
    </row>
    <row r="1343">
      <c r="B1343" s="2"/>
    </row>
    <row r="1344">
      <c r="B1344" s="2"/>
    </row>
    <row r="1345">
      <c r="B1345" s="2"/>
    </row>
    <row r="1346">
      <c r="B1346" s="2"/>
    </row>
    <row r="1347">
      <c r="B1347" s="2"/>
    </row>
    <row r="1348">
      <c r="B1348" s="2"/>
    </row>
    <row r="1349">
      <c r="B1349" s="2"/>
    </row>
    <row r="1350">
      <c r="B1350" s="2"/>
    </row>
    <row r="1351">
      <c r="B1351" s="2"/>
    </row>
    <row r="1352">
      <c r="B1352" s="2"/>
    </row>
    <row r="1353">
      <c r="B1353" s="2"/>
    </row>
    <row r="1354">
      <c r="B1354" s="2"/>
    </row>
    <row r="1355">
      <c r="B1355" s="2"/>
    </row>
    <row r="1356">
      <c r="B1356" s="2"/>
    </row>
    <row r="1357">
      <c r="B1357" s="2"/>
    </row>
    <row r="1358">
      <c r="B1358" s="2"/>
    </row>
    <row r="1359">
      <c r="B1359" s="2"/>
    </row>
    <row r="1360">
      <c r="B1360" s="2"/>
    </row>
    <row r="1361">
      <c r="B1361" s="2"/>
    </row>
    <row r="1362">
      <c r="B1362" s="2"/>
    </row>
    <row r="1363">
      <c r="B1363" s="2"/>
    </row>
    <row r="1364">
      <c r="B1364" s="2"/>
    </row>
    <row r="1365">
      <c r="B1365" s="2"/>
    </row>
    <row r="1366">
      <c r="B1366" s="2"/>
    </row>
    <row r="1367">
      <c r="B1367" s="2"/>
    </row>
    <row r="1368">
      <c r="B1368" s="2"/>
    </row>
    <row r="1369">
      <c r="B1369" s="2"/>
    </row>
    <row r="1370">
      <c r="B1370" s="2"/>
    </row>
    <row r="1371">
      <c r="B1371" s="2"/>
    </row>
    <row r="1372">
      <c r="B1372" s="2"/>
    </row>
    <row r="1373">
      <c r="B1373" s="2"/>
    </row>
    <row r="1374">
      <c r="B1374" s="2"/>
    </row>
    <row r="1375">
      <c r="B1375" s="2"/>
    </row>
    <row r="1376">
      <c r="B1376" s="2"/>
    </row>
    <row r="1377">
      <c r="B1377" s="2"/>
    </row>
    <row r="1378">
      <c r="B1378" s="2"/>
    </row>
    <row r="1379">
      <c r="B1379" s="2"/>
    </row>
    <row r="1380">
      <c r="B1380" s="2"/>
    </row>
    <row r="1381">
      <c r="B1381" s="2"/>
    </row>
    <row r="1382">
      <c r="B1382" s="2"/>
    </row>
    <row r="1383">
      <c r="B1383" s="2"/>
    </row>
    <row r="1384">
      <c r="B1384" s="2"/>
    </row>
    <row r="1385">
      <c r="B1385" s="2"/>
    </row>
    <row r="1386">
      <c r="B1386" s="2"/>
    </row>
    <row r="1387">
      <c r="B1387" s="2"/>
    </row>
    <row r="1388">
      <c r="B1388" s="2"/>
    </row>
    <row r="1389">
      <c r="B1389" s="2"/>
    </row>
    <row r="1390">
      <c r="B1390" s="2"/>
    </row>
    <row r="1391">
      <c r="B1391" s="2"/>
    </row>
    <row r="1392">
      <c r="B1392" s="2"/>
    </row>
    <row r="1393">
      <c r="B1393" s="2"/>
    </row>
    <row r="1394">
      <c r="B1394" s="2"/>
    </row>
    <row r="1395">
      <c r="B1395" s="2"/>
    </row>
    <row r="1396">
      <c r="B1396" s="2"/>
    </row>
    <row r="1397">
      <c r="B1397" s="2"/>
    </row>
    <row r="1398">
      <c r="B1398" s="2"/>
    </row>
    <row r="1399">
      <c r="B1399" s="2"/>
    </row>
    <row r="1400">
      <c r="B1400" s="2"/>
    </row>
    <row r="1401">
      <c r="B1401" s="2"/>
    </row>
    <row r="1402">
      <c r="B1402" s="2"/>
    </row>
    <row r="1403">
      <c r="B1403" s="2"/>
    </row>
    <row r="1404">
      <c r="B1404" s="2"/>
    </row>
    <row r="1405">
      <c r="B1405" s="2"/>
    </row>
    <row r="1406">
      <c r="B1406" s="2"/>
    </row>
    <row r="1407">
      <c r="B1407" s="2"/>
    </row>
    <row r="1408">
      <c r="B1408" s="2"/>
    </row>
    <row r="1409">
      <c r="B1409" s="2"/>
    </row>
    <row r="1410">
      <c r="B1410" s="2"/>
    </row>
    <row r="1411">
      <c r="B1411" s="2"/>
    </row>
    <row r="1412">
      <c r="B1412" s="2"/>
    </row>
    <row r="1413">
      <c r="B1413" s="2"/>
    </row>
    <row r="1414">
      <c r="B1414" s="2"/>
    </row>
    <row r="1415">
      <c r="B1415" s="2"/>
    </row>
    <row r="1416">
      <c r="B1416" s="2"/>
    </row>
    <row r="1417">
      <c r="B1417" s="2"/>
    </row>
    <row r="1418">
      <c r="B1418" s="2"/>
    </row>
    <row r="1419">
      <c r="B1419" s="2"/>
    </row>
    <row r="1420">
      <c r="B1420" s="2"/>
    </row>
    <row r="1421">
      <c r="B1421" s="2"/>
    </row>
    <row r="1422">
      <c r="B1422" s="2"/>
    </row>
    <row r="1423">
      <c r="B1423" s="2"/>
    </row>
    <row r="1424">
      <c r="B1424" s="2"/>
    </row>
    <row r="1425">
      <c r="B1425" s="2"/>
    </row>
    <row r="1426">
      <c r="B1426" s="2"/>
    </row>
    <row r="1427">
      <c r="B1427" s="2"/>
    </row>
    <row r="1428">
      <c r="B1428" s="2"/>
    </row>
    <row r="1429">
      <c r="B1429" s="2"/>
    </row>
    <row r="1430">
      <c r="B1430" s="2"/>
    </row>
    <row r="1431">
      <c r="B1431" s="2"/>
    </row>
    <row r="1432">
      <c r="B1432" s="2"/>
    </row>
    <row r="1433">
      <c r="B1433" s="2"/>
    </row>
    <row r="1434">
      <c r="B1434" s="2"/>
    </row>
    <row r="1435">
      <c r="B1435" s="2"/>
    </row>
    <row r="1436">
      <c r="B1436" s="2"/>
    </row>
    <row r="1437">
      <c r="B1437" s="2"/>
    </row>
    <row r="1438">
      <c r="B1438" s="2"/>
    </row>
    <row r="1439">
      <c r="B1439" s="2"/>
    </row>
    <row r="1440">
      <c r="B1440" s="2"/>
    </row>
    <row r="1441">
      <c r="B1441" s="2"/>
    </row>
    <row r="1442">
      <c r="B1442" s="2"/>
    </row>
    <row r="1443">
      <c r="B1443" s="2"/>
    </row>
    <row r="1444">
      <c r="B1444" s="2"/>
    </row>
    <row r="1445">
      <c r="B1445" s="2"/>
    </row>
    <row r="1446">
      <c r="B1446" s="2"/>
    </row>
    <row r="1447">
      <c r="B1447" s="2"/>
    </row>
    <row r="1448">
      <c r="B1448" s="2"/>
    </row>
    <row r="1449">
      <c r="B1449" s="2"/>
    </row>
    <row r="1450">
      <c r="B1450" s="2"/>
    </row>
    <row r="1451">
      <c r="B1451" s="2"/>
    </row>
    <row r="1452">
      <c r="B1452" s="2"/>
    </row>
    <row r="1453">
      <c r="B1453" s="2"/>
    </row>
    <row r="1454">
      <c r="B1454" s="2"/>
    </row>
    <row r="1455">
      <c r="B1455" s="2"/>
    </row>
    <row r="1456">
      <c r="B1456" s="2"/>
    </row>
    <row r="1457">
      <c r="B1457" s="2"/>
    </row>
    <row r="1458">
      <c r="B1458" s="2"/>
    </row>
    <row r="1459">
      <c r="B1459" s="2"/>
    </row>
    <row r="1460">
      <c r="B1460" s="2"/>
    </row>
    <row r="1461">
      <c r="B1461" s="2"/>
    </row>
    <row r="1462">
      <c r="B1462" s="2"/>
    </row>
    <row r="1463">
      <c r="B1463" s="2"/>
    </row>
    <row r="1464">
      <c r="B1464" s="2"/>
    </row>
    <row r="1465">
      <c r="B1465" s="2"/>
    </row>
    <row r="1466">
      <c r="B1466" s="2"/>
    </row>
    <row r="1467">
      <c r="B1467" s="2"/>
    </row>
    <row r="1468">
      <c r="B1468" s="2"/>
    </row>
    <row r="1469">
      <c r="B1469" s="2"/>
    </row>
    <row r="1470">
      <c r="B1470" s="2"/>
    </row>
    <row r="1471">
      <c r="B1471" s="2"/>
    </row>
    <row r="1472">
      <c r="B1472" s="2"/>
    </row>
    <row r="1473">
      <c r="B1473" s="2"/>
    </row>
    <row r="1474">
      <c r="B1474" s="2"/>
    </row>
    <row r="1475">
      <c r="B1475" s="2"/>
    </row>
    <row r="1476">
      <c r="B1476" s="2"/>
    </row>
    <row r="1477">
      <c r="B1477" s="2"/>
    </row>
    <row r="1478">
      <c r="B1478" s="2"/>
    </row>
    <row r="1479">
      <c r="B1479" s="2"/>
    </row>
    <row r="1480">
      <c r="B1480" s="2"/>
    </row>
    <row r="1481">
      <c r="B1481" s="2"/>
    </row>
    <row r="1482">
      <c r="B1482" s="2"/>
    </row>
    <row r="1483">
      <c r="B1483" s="2"/>
    </row>
    <row r="1484">
      <c r="B1484" s="2"/>
    </row>
    <row r="1485">
      <c r="B1485" s="2"/>
    </row>
    <row r="1486">
      <c r="B1486" s="2"/>
    </row>
    <row r="1487">
      <c r="B1487" s="2"/>
    </row>
    <row r="1488">
      <c r="B1488" s="2"/>
    </row>
    <row r="1489">
      <c r="B1489" s="2"/>
    </row>
    <row r="1490">
      <c r="B1490" s="2"/>
    </row>
    <row r="1491">
      <c r="B1491" s="2"/>
    </row>
    <row r="1492">
      <c r="B1492" s="2"/>
    </row>
    <row r="1493">
      <c r="B1493" s="2"/>
    </row>
    <row r="1494">
      <c r="B1494" s="2"/>
    </row>
    <row r="1495">
      <c r="B1495" s="2"/>
    </row>
    <row r="1496">
      <c r="B1496" s="2"/>
    </row>
    <row r="1497">
      <c r="B1497" s="2"/>
    </row>
    <row r="1498">
      <c r="B1498" s="2"/>
    </row>
    <row r="1499">
      <c r="B1499" s="2"/>
    </row>
    <row r="1500">
      <c r="B1500" s="2"/>
    </row>
    <row r="1501">
      <c r="B1501" s="2"/>
    </row>
    <row r="1502">
      <c r="B1502" s="2"/>
    </row>
    <row r="1503">
      <c r="B1503" s="2"/>
    </row>
    <row r="1504">
      <c r="B1504" s="2"/>
    </row>
    <row r="1505">
      <c r="B1505" s="2"/>
    </row>
    <row r="1506">
      <c r="B1506" s="2"/>
    </row>
    <row r="1507">
      <c r="B1507" s="2"/>
    </row>
    <row r="1508">
      <c r="B1508" s="2"/>
    </row>
    <row r="1509">
      <c r="B1509" s="2"/>
    </row>
    <row r="1510">
      <c r="B1510" s="2"/>
    </row>
    <row r="1511">
      <c r="B1511" s="2"/>
    </row>
    <row r="1512">
      <c r="B1512" s="2"/>
    </row>
    <row r="1513">
      <c r="B1513" s="2"/>
    </row>
    <row r="1514">
      <c r="B1514" s="2"/>
    </row>
    <row r="1515">
      <c r="B1515" s="2"/>
    </row>
    <row r="1516">
      <c r="B1516" s="2"/>
    </row>
    <row r="1517">
      <c r="B1517" s="2"/>
    </row>
    <row r="1518">
      <c r="B1518" s="2"/>
    </row>
    <row r="1519">
      <c r="B1519" s="2"/>
    </row>
    <row r="1520">
      <c r="B1520" s="2"/>
    </row>
    <row r="1521">
      <c r="B1521" s="2"/>
    </row>
    <row r="1522">
      <c r="B1522" s="2"/>
    </row>
    <row r="1523">
      <c r="B1523" s="2"/>
    </row>
    <row r="1524">
      <c r="B1524" s="2"/>
    </row>
    <row r="1525">
      <c r="B1525" s="2"/>
    </row>
    <row r="1526">
      <c r="B1526" s="2"/>
    </row>
    <row r="1527">
      <c r="B1527" s="2"/>
    </row>
    <row r="1528">
      <c r="B1528" s="2"/>
    </row>
    <row r="1529">
      <c r="B1529" s="2"/>
    </row>
    <row r="1530">
      <c r="B1530" s="2"/>
    </row>
    <row r="1531">
      <c r="B1531" s="2"/>
    </row>
    <row r="1532">
      <c r="B1532" s="2"/>
    </row>
    <row r="1533">
      <c r="B1533" s="2"/>
    </row>
    <row r="1534">
      <c r="B1534" s="2"/>
    </row>
    <row r="1535">
      <c r="B1535" s="2"/>
    </row>
    <row r="1536">
      <c r="B1536" s="2"/>
    </row>
    <row r="1537">
      <c r="B1537" s="2"/>
    </row>
    <row r="1538">
      <c r="B1538" s="2"/>
    </row>
    <row r="1539">
      <c r="B1539" s="2"/>
    </row>
    <row r="1540">
      <c r="B1540" s="2"/>
    </row>
    <row r="1541">
      <c r="B1541" s="2"/>
    </row>
    <row r="1542">
      <c r="B1542" s="2"/>
    </row>
    <row r="1543">
      <c r="B1543" s="2"/>
    </row>
    <row r="1544">
      <c r="B1544" s="2"/>
    </row>
    <row r="1545">
      <c r="B1545" s="2"/>
    </row>
    <row r="1546">
      <c r="B1546" s="2"/>
    </row>
    <row r="1547">
      <c r="B1547" s="2"/>
    </row>
    <row r="1548">
      <c r="B1548" s="2"/>
    </row>
    <row r="1549">
      <c r="B1549" s="2"/>
    </row>
    <row r="1550">
      <c r="B1550" s="2"/>
    </row>
    <row r="1551">
      <c r="B1551" s="2"/>
    </row>
    <row r="1552">
      <c r="B1552" s="2"/>
    </row>
    <row r="1553">
      <c r="B1553" s="2"/>
    </row>
    <row r="1554">
      <c r="B1554" s="2"/>
    </row>
    <row r="1555">
      <c r="B1555" s="2"/>
    </row>
    <row r="1556">
      <c r="B1556" s="2"/>
    </row>
    <row r="1557">
      <c r="B1557" s="2"/>
    </row>
    <row r="1558">
      <c r="B1558" s="2"/>
    </row>
    <row r="1559">
      <c r="B1559" s="2"/>
    </row>
    <row r="1560">
      <c r="B1560" s="2"/>
    </row>
    <row r="1561">
      <c r="B1561" s="2"/>
    </row>
    <row r="1562">
      <c r="B1562" s="2"/>
    </row>
    <row r="1563">
      <c r="B1563" s="2"/>
    </row>
    <row r="1564">
      <c r="B1564" s="2"/>
    </row>
    <row r="1565">
      <c r="B1565" s="2"/>
    </row>
    <row r="1566">
      <c r="B1566" s="2"/>
    </row>
    <row r="1567">
      <c r="B1567" s="2"/>
    </row>
    <row r="1568">
      <c r="B1568" s="2"/>
    </row>
    <row r="1569">
      <c r="B1569" s="2"/>
    </row>
    <row r="1570">
      <c r="B1570" s="2"/>
    </row>
    <row r="1571">
      <c r="B1571" s="2"/>
    </row>
    <row r="1572">
      <c r="B1572" s="2"/>
    </row>
    <row r="1573">
      <c r="B1573" s="2"/>
    </row>
    <row r="1574">
      <c r="B1574" s="2"/>
    </row>
    <row r="1575">
      <c r="B1575" s="2"/>
    </row>
    <row r="1576">
      <c r="B1576" s="2"/>
    </row>
    <row r="1577">
      <c r="B1577" s="2"/>
    </row>
    <row r="1578">
      <c r="B1578" s="2"/>
    </row>
    <row r="1579">
      <c r="B1579" s="2"/>
    </row>
    <row r="1580">
      <c r="B1580" s="2"/>
    </row>
    <row r="1581">
      <c r="B1581" s="2"/>
    </row>
    <row r="1582">
      <c r="B1582" s="2"/>
    </row>
    <row r="1583">
      <c r="B1583" s="2"/>
    </row>
    <row r="1584">
      <c r="B1584" s="2"/>
    </row>
    <row r="1585">
      <c r="B1585" s="2"/>
    </row>
    <row r="1586">
      <c r="B1586" s="2"/>
    </row>
    <row r="1587">
      <c r="B1587" s="2"/>
    </row>
    <row r="1588">
      <c r="B1588" s="2"/>
    </row>
    <row r="1589">
      <c r="B1589" s="2"/>
    </row>
    <row r="1590">
      <c r="B1590" s="2"/>
    </row>
    <row r="1591">
      <c r="B1591" s="2"/>
    </row>
    <row r="1592">
      <c r="B1592" s="2"/>
    </row>
    <row r="1593">
      <c r="B1593" s="2"/>
    </row>
    <row r="1594">
      <c r="B1594" s="2"/>
    </row>
    <row r="1595">
      <c r="B1595" s="2"/>
    </row>
    <row r="1596">
      <c r="B1596" s="2"/>
    </row>
    <row r="1597">
      <c r="B1597" s="2"/>
    </row>
    <row r="1598">
      <c r="B1598" s="2"/>
    </row>
    <row r="1599">
      <c r="B1599" s="2"/>
    </row>
    <row r="1600">
      <c r="B1600" s="2"/>
    </row>
    <row r="1601">
      <c r="B1601" s="2"/>
    </row>
    <row r="1602">
      <c r="B1602" s="2"/>
    </row>
    <row r="1603">
      <c r="B1603" s="2"/>
    </row>
    <row r="1604">
      <c r="B1604" s="2"/>
    </row>
    <row r="1605">
      <c r="B1605" s="2"/>
    </row>
    <row r="1606">
      <c r="B1606" s="2"/>
    </row>
    <row r="1607">
      <c r="B1607" s="2"/>
    </row>
    <row r="1608">
      <c r="B1608" s="2"/>
    </row>
    <row r="1609">
      <c r="B1609" s="2"/>
    </row>
    <row r="1610">
      <c r="B1610" s="2"/>
    </row>
    <row r="1611">
      <c r="B1611" s="2"/>
    </row>
    <row r="1612">
      <c r="B1612" s="2"/>
    </row>
    <row r="1613">
      <c r="B1613" s="2"/>
    </row>
    <row r="1614">
      <c r="B1614" s="2"/>
    </row>
    <row r="1615">
      <c r="B1615" s="2"/>
    </row>
    <row r="1616">
      <c r="B1616" s="2"/>
    </row>
    <row r="1617">
      <c r="B1617" s="2"/>
    </row>
    <row r="1618">
      <c r="B1618" s="2"/>
    </row>
    <row r="1619">
      <c r="B1619" s="2"/>
    </row>
    <row r="1620">
      <c r="B1620" s="2"/>
    </row>
    <row r="1621">
      <c r="B1621" s="2"/>
    </row>
    <row r="1622">
      <c r="B1622" s="2"/>
    </row>
    <row r="1623">
      <c r="B1623" s="2"/>
    </row>
    <row r="1624">
      <c r="B1624" s="2"/>
    </row>
    <row r="1625">
      <c r="B1625" s="2"/>
    </row>
    <row r="1626">
      <c r="B1626" s="2"/>
    </row>
    <row r="1627">
      <c r="B1627" s="2"/>
    </row>
    <row r="1628">
      <c r="B1628" s="2"/>
    </row>
    <row r="1629">
      <c r="B1629" s="2"/>
    </row>
    <row r="1630">
      <c r="B1630" s="2"/>
    </row>
    <row r="1631">
      <c r="B1631" s="2"/>
    </row>
    <row r="1632">
      <c r="B1632" s="2"/>
    </row>
    <row r="1633">
      <c r="B1633" s="2"/>
    </row>
    <row r="1634">
      <c r="B1634" s="2"/>
    </row>
    <row r="1635">
      <c r="B1635" s="2"/>
    </row>
    <row r="1636">
      <c r="B1636" s="2"/>
    </row>
    <row r="1637">
      <c r="B1637" s="2"/>
    </row>
    <row r="1638">
      <c r="B1638" s="2"/>
    </row>
    <row r="1639">
      <c r="B1639" s="2"/>
    </row>
    <row r="1640">
      <c r="B1640" s="2"/>
    </row>
    <row r="1641">
      <c r="B1641" s="2"/>
    </row>
    <row r="1642">
      <c r="B1642" s="2"/>
    </row>
    <row r="1643">
      <c r="B1643" s="2"/>
    </row>
    <row r="1644">
      <c r="B1644" s="2"/>
    </row>
    <row r="1645">
      <c r="B1645" s="2"/>
    </row>
    <row r="1646">
      <c r="B1646" s="2"/>
    </row>
    <row r="1647">
      <c r="B1647" s="2"/>
    </row>
    <row r="1648">
      <c r="B1648" s="2"/>
    </row>
    <row r="1649">
      <c r="B1649" s="2"/>
    </row>
    <row r="1650">
      <c r="B1650" s="2"/>
    </row>
    <row r="1651">
      <c r="B1651" s="2"/>
    </row>
    <row r="1652">
      <c r="B1652" s="2"/>
    </row>
    <row r="1653">
      <c r="B1653" s="2"/>
    </row>
    <row r="1654">
      <c r="B1654" s="2"/>
    </row>
    <row r="1655">
      <c r="B1655" s="2"/>
    </row>
    <row r="1656">
      <c r="B1656" s="2"/>
    </row>
    <row r="1657">
      <c r="B1657" s="2"/>
    </row>
    <row r="1658">
      <c r="B1658" s="2"/>
    </row>
    <row r="1659">
      <c r="B1659" s="2"/>
    </row>
    <row r="1660">
      <c r="B1660" s="2"/>
    </row>
    <row r="1661">
      <c r="B1661" s="2"/>
    </row>
    <row r="1662">
      <c r="B1662" s="2"/>
    </row>
    <row r="1663">
      <c r="B1663" s="2"/>
    </row>
    <row r="1664">
      <c r="B1664" s="2"/>
    </row>
    <row r="1665">
      <c r="B1665" s="2"/>
    </row>
    <row r="1666">
      <c r="B1666" s="2"/>
    </row>
    <row r="1667">
      <c r="B1667" s="2"/>
    </row>
    <row r="1668">
      <c r="B1668" s="2"/>
    </row>
    <row r="1669">
      <c r="B1669" s="2"/>
    </row>
    <row r="1670">
      <c r="B1670" s="2"/>
    </row>
    <row r="1671">
      <c r="B1671" s="2"/>
    </row>
    <row r="1672">
      <c r="B1672" s="2"/>
    </row>
    <row r="1673">
      <c r="B1673" s="2"/>
    </row>
    <row r="1674">
      <c r="B1674" s="2"/>
    </row>
    <row r="1675">
      <c r="B1675" s="2"/>
    </row>
    <row r="1676">
      <c r="B1676" s="2"/>
    </row>
    <row r="1677">
      <c r="B1677" s="2"/>
    </row>
    <row r="1678">
      <c r="B1678" s="2"/>
    </row>
    <row r="1679">
      <c r="B1679" s="2"/>
    </row>
    <row r="1680">
      <c r="B1680" s="2"/>
    </row>
    <row r="1681">
      <c r="B1681" s="2"/>
    </row>
    <row r="1682">
      <c r="B1682" s="2"/>
    </row>
    <row r="1683">
      <c r="B1683" s="2"/>
    </row>
    <row r="1684">
      <c r="B1684" s="2"/>
    </row>
    <row r="1685">
      <c r="B1685" s="2"/>
    </row>
    <row r="1686">
      <c r="B1686" s="2"/>
    </row>
    <row r="1687">
      <c r="B1687" s="2"/>
    </row>
    <row r="1688">
      <c r="B1688" s="2"/>
    </row>
    <row r="1689">
      <c r="B1689" s="2"/>
    </row>
    <row r="1690">
      <c r="B1690" s="2"/>
    </row>
    <row r="1691">
      <c r="B1691" s="2"/>
    </row>
    <row r="1692">
      <c r="B1692" s="2"/>
    </row>
    <row r="1693">
      <c r="B1693" s="2"/>
    </row>
    <row r="1694">
      <c r="B1694" s="2"/>
    </row>
    <row r="1695">
      <c r="B1695" s="2"/>
    </row>
    <row r="1696">
      <c r="B1696" s="2"/>
    </row>
    <row r="1697">
      <c r="B1697" s="2"/>
    </row>
    <row r="1698">
      <c r="B1698" s="2"/>
    </row>
    <row r="1699">
      <c r="B1699" s="2"/>
    </row>
    <row r="1700">
      <c r="B1700" s="2"/>
    </row>
    <row r="1701">
      <c r="B1701" s="2"/>
    </row>
    <row r="1702">
      <c r="B1702" s="2"/>
    </row>
    <row r="1703">
      <c r="B1703" s="2"/>
    </row>
    <row r="1704">
      <c r="B1704" s="2"/>
    </row>
    <row r="1705">
      <c r="B1705" s="2"/>
    </row>
    <row r="1706">
      <c r="B1706" s="2"/>
    </row>
    <row r="1707">
      <c r="B1707" s="2"/>
    </row>
    <row r="1708">
      <c r="B1708" s="2"/>
    </row>
    <row r="1709">
      <c r="B1709" s="2"/>
    </row>
    <row r="1710">
      <c r="B1710" s="2"/>
    </row>
    <row r="1711">
      <c r="B1711" s="2"/>
    </row>
    <row r="1712">
      <c r="B1712" s="2"/>
    </row>
    <row r="1713">
      <c r="B1713" s="2"/>
    </row>
    <row r="1714">
      <c r="B1714" s="2"/>
    </row>
    <row r="1715">
      <c r="B1715" s="2"/>
    </row>
    <row r="1716">
      <c r="B1716" s="2"/>
    </row>
    <row r="1717">
      <c r="B1717" s="2"/>
    </row>
    <row r="1718">
      <c r="B1718" s="2"/>
    </row>
    <row r="1719">
      <c r="B1719" s="2"/>
    </row>
    <row r="1720">
      <c r="B1720" s="2"/>
    </row>
    <row r="1721">
      <c r="B1721" s="2"/>
    </row>
    <row r="1722">
      <c r="B1722" s="2"/>
    </row>
    <row r="1723">
      <c r="B1723" s="2"/>
    </row>
    <row r="1724">
      <c r="B1724" s="2"/>
    </row>
    <row r="1725">
      <c r="B1725" s="2"/>
    </row>
    <row r="1726">
      <c r="B1726" s="2"/>
    </row>
    <row r="1727">
      <c r="B1727" s="2"/>
    </row>
    <row r="1728">
      <c r="B1728" s="2"/>
    </row>
    <row r="1729">
      <c r="B1729" s="2"/>
    </row>
    <row r="1730">
      <c r="B1730" s="2"/>
    </row>
    <row r="1731">
      <c r="B1731" s="2"/>
    </row>
    <row r="1732">
      <c r="B1732" s="2"/>
    </row>
    <row r="1733">
      <c r="B1733" s="2"/>
    </row>
    <row r="1734">
      <c r="B1734" s="2"/>
    </row>
    <row r="1735">
      <c r="B1735" s="2"/>
    </row>
    <row r="1736">
      <c r="B1736" s="2"/>
    </row>
    <row r="1737">
      <c r="B1737" s="2"/>
    </row>
    <row r="1738">
      <c r="B1738" s="2"/>
    </row>
    <row r="1739">
      <c r="B1739" s="2"/>
    </row>
    <row r="1740">
      <c r="B1740" s="2"/>
    </row>
    <row r="1741">
      <c r="B1741" s="2"/>
    </row>
    <row r="1742">
      <c r="B1742" s="2"/>
    </row>
    <row r="1743">
      <c r="B1743" s="2"/>
    </row>
    <row r="1744">
      <c r="B1744" s="2"/>
    </row>
    <row r="1745">
      <c r="B1745" s="2"/>
    </row>
    <row r="1746">
      <c r="B1746" s="2"/>
    </row>
    <row r="1747">
      <c r="B1747" s="2"/>
    </row>
    <row r="1748">
      <c r="B1748" s="2"/>
    </row>
    <row r="1749">
      <c r="B1749" s="2"/>
    </row>
    <row r="1750">
      <c r="B1750" s="2"/>
    </row>
    <row r="1751">
      <c r="B1751" s="2"/>
    </row>
    <row r="1752">
      <c r="B1752" s="2"/>
    </row>
    <row r="1753">
      <c r="B1753" s="2"/>
    </row>
    <row r="1754">
      <c r="B1754" s="2"/>
    </row>
    <row r="1755">
      <c r="B1755" s="2"/>
    </row>
    <row r="1756">
      <c r="B1756" s="2"/>
    </row>
    <row r="1757">
      <c r="B1757" s="2"/>
    </row>
    <row r="1758">
      <c r="B1758" s="2"/>
    </row>
    <row r="1759">
      <c r="B1759" s="2"/>
    </row>
    <row r="1760">
      <c r="B1760" s="2"/>
    </row>
    <row r="1761">
      <c r="B1761" s="2"/>
    </row>
    <row r="1762">
      <c r="B1762" s="2"/>
    </row>
    <row r="1763">
      <c r="B1763" s="2"/>
    </row>
    <row r="1764">
      <c r="B1764" s="2"/>
    </row>
    <row r="1765">
      <c r="B1765" s="2"/>
    </row>
    <row r="1766">
      <c r="B1766" s="2"/>
    </row>
    <row r="1767">
      <c r="B1767" s="2"/>
    </row>
    <row r="1768">
      <c r="B1768" s="2"/>
    </row>
    <row r="1769">
      <c r="B1769" s="2"/>
    </row>
    <row r="1770">
      <c r="B1770" s="2"/>
    </row>
    <row r="1771">
      <c r="B1771" s="2"/>
    </row>
    <row r="1772">
      <c r="B1772" s="2"/>
    </row>
    <row r="1773">
      <c r="B1773" s="2"/>
    </row>
    <row r="1774">
      <c r="B1774" s="2"/>
    </row>
    <row r="1775">
      <c r="B1775" s="2"/>
    </row>
    <row r="1776">
      <c r="B1776" s="2"/>
    </row>
    <row r="1777">
      <c r="B1777" s="2"/>
    </row>
    <row r="1778">
      <c r="B1778" s="2"/>
    </row>
    <row r="1779">
      <c r="B1779" s="2"/>
    </row>
    <row r="1780">
      <c r="B1780" s="2"/>
    </row>
    <row r="1781">
      <c r="B1781" s="2"/>
    </row>
    <row r="1782">
      <c r="B1782" s="2"/>
    </row>
    <row r="1783">
      <c r="B1783" s="2"/>
    </row>
    <row r="1784">
      <c r="B1784" s="2"/>
    </row>
    <row r="1785">
      <c r="B1785" s="2"/>
    </row>
    <row r="1786">
      <c r="B1786" s="2"/>
    </row>
    <row r="1787">
      <c r="B1787" s="2"/>
    </row>
    <row r="1788">
      <c r="B1788" s="2"/>
    </row>
    <row r="1789">
      <c r="B1789" s="2"/>
    </row>
    <row r="1790">
      <c r="B1790" s="2"/>
    </row>
    <row r="1791">
      <c r="B1791" s="2"/>
    </row>
    <row r="1792">
      <c r="B1792" s="2"/>
    </row>
    <row r="1793">
      <c r="B1793" s="2"/>
    </row>
    <row r="1794">
      <c r="B1794" s="2"/>
    </row>
    <row r="1795">
      <c r="B1795" s="2"/>
    </row>
    <row r="1796">
      <c r="B1796" s="2"/>
    </row>
    <row r="1797">
      <c r="B1797" s="2"/>
    </row>
    <row r="1798">
      <c r="B1798" s="2"/>
    </row>
    <row r="1799">
      <c r="B1799" s="2"/>
    </row>
    <row r="1800">
      <c r="B1800" s="2"/>
    </row>
    <row r="1801">
      <c r="B1801" s="2"/>
    </row>
    <row r="1802">
      <c r="B1802" s="2"/>
    </row>
    <row r="1803">
      <c r="B1803" s="2"/>
    </row>
    <row r="1804">
      <c r="B1804" s="2"/>
    </row>
    <row r="1805">
      <c r="B1805" s="2"/>
    </row>
    <row r="1806">
      <c r="B1806" s="2"/>
    </row>
    <row r="1807">
      <c r="B1807" s="2"/>
    </row>
    <row r="1808">
      <c r="B1808" s="2"/>
    </row>
    <row r="1809">
      <c r="B1809" s="2"/>
    </row>
    <row r="1810">
      <c r="B1810" s="2"/>
    </row>
    <row r="1811">
      <c r="B1811" s="2"/>
    </row>
    <row r="1812">
      <c r="B1812" s="2"/>
    </row>
    <row r="1813">
      <c r="B1813" s="2"/>
    </row>
    <row r="1814">
      <c r="B1814" s="2"/>
    </row>
    <row r="1815">
      <c r="B1815" s="2"/>
    </row>
    <row r="1816">
      <c r="B1816" s="2"/>
    </row>
    <row r="1817">
      <c r="B1817" s="2"/>
    </row>
    <row r="1818">
      <c r="B1818" s="2"/>
    </row>
    <row r="1819">
      <c r="B1819" s="2"/>
    </row>
    <row r="1820">
      <c r="B1820" s="2"/>
    </row>
    <row r="1821">
      <c r="B1821" s="2"/>
    </row>
    <row r="1822">
      <c r="B1822" s="2"/>
    </row>
    <row r="1823">
      <c r="B1823" s="2"/>
    </row>
    <row r="1824">
      <c r="B1824" s="2"/>
    </row>
    <row r="1825">
      <c r="B1825" s="2"/>
    </row>
    <row r="1826">
      <c r="B1826" s="2"/>
    </row>
    <row r="1827">
      <c r="B1827" s="2"/>
    </row>
    <row r="1828">
      <c r="B1828" s="2"/>
    </row>
    <row r="1829">
      <c r="B1829" s="2"/>
    </row>
    <row r="1830">
      <c r="B1830" s="2"/>
    </row>
    <row r="1831">
      <c r="B1831" s="2"/>
    </row>
    <row r="1832">
      <c r="B1832" s="2"/>
    </row>
    <row r="1833">
      <c r="B1833" s="2"/>
    </row>
    <row r="1834">
      <c r="B1834" s="2"/>
    </row>
    <row r="1835">
      <c r="B1835" s="2"/>
    </row>
    <row r="1836">
      <c r="B1836" s="2"/>
    </row>
    <row r="1837">
      <c r="B1837" s="2"/>
    </row>
    <row r="1838">
      <c r="B1838" s="2"/>
    </row>
    <row r="1839">
      <c r="B1839" s="2"/>
    </row>
    <row r="1840">
      <c r="B1840" s="2"/>
    </row>
    <row r="1841">
      <c r="B1841" s="2"/>
    </row>
    <row r="1842">
      <c r="B1842" s="2"/>
    </row>
    <row r="1843">
      <c r="B1843" s="2"/>
    </row>
    <row r="1844">
      <c r="B1844" s="2"/>
    </row>
    <row r="1845">
      <c r="B1845" s="2"/>
    </row>
    <row r="1846">
      <c r="B1846" s="2"/>
    </row>
    <row r="1847">
      <c r="B1847" s="2"/>
    </row>
    <row r="1848">
      <c r="B1848" s="2"/>
    </row>
    <row r="1849">
      <c r="B1849" s="2"/>
    </row>
    <row r="1850">
      <c r="B1850" s="2"/>
    </row>
    <row r="1851">
      <c r="B1851" s="2"/>
    </row>
    <row r="1852">
      <c r="B1852" s="2"/>
    </row>
    <row r="1853">
      <c r="B1853" s="2"/>
    </row>
    <row r="1854">
      <c r="B1854" s="2"/>
    </row>
    <row r="1855">
      <c r="B1855" s="2"/>
    </row>
    <row r="1856">
      <c r="B1856" s="2"/>
    </row>
    <row r="1857">
      <c r="B1857" s="2"/>
    </row>
    <row r="1858">
      <c r="B1858" s="2"/>
    </row>
    <row r="1859">
      <c r="B1859" s="2"/>
    </row>
    <row r="1860">
      <c r="B1860" s="2"/>
    </row>
    <row r="1861">
      <c r="B1861" s="2"/>
    </row>
    <row r="1862">
      <c r="B1862" s="2"/>
    </row>
    <row r="1863">
      <c r="B1863" s="2"/>
    </row>
    <row r="1864">
      <c r="B1864" s="2"/>
    </row>
    <row r="1865">
      <c r="B1865" s="2"/>
    </row>
    <row r="1866">
      <c r="B1866" s="2"/>
    </row>
    <row r="1867">
      <c r="B1867" s="2"/>
    </row>
    <row r="1868">
      <c r="B1868" s="2"/>
    </row>
    <row r="1869">
      <c r="B1869" s="2"/>
    </row>
    <row r="1870">
      <c r="B1870" s="2"/>
    </row>
    <row r="1871">
      <c r="B1871" s="2"/>
    </row>
    <row r="1872">
      <c r="B1872" s="2"/>
    </row>
    <row r="1873">
      <c r="B1873" s="2"/>
    </row>
    <row r="1874">
      <c r="B1874" s="2"/>
    </row>
    <row r="1875">
      <c r="B1875" s="2"/>
    </row>
    <row r="1876">
      <c r="B1876" s="2"/>
    </row>
    <row r="1877">
      <c r="B1877" s="2"/>
    </row>
    <row r="1878">
      <c r="B1878" s="2"/>
    </row>
    <row r="1879">
      <c r="B1879" s="2"/>
    </row>
    <row r="1880">
      <c r="B1880" s="2"/>
    </row>
    <row r="1881">
      <c r="B1881" s="2"/>
    </row>
    <row r="1882">
      <c r="B1882" s="2"/>
    </row>
    <row r="1883">
      <c r="B1883" s="2"/>
    </row>
    <row r="1884">
      <c r="B1884" s="2"/>
    </row>
    <row r="1885">
      <c r="B1885" s="2"/>
    </row>
    <row r="1886">
      <c r="B1886" s="2"/>
    </row>
    <row r="1887">
      <c r="B1887" s="2"/>
    </row>
    <row r="1888">
      <c r="B1888" s="2"/>
    </row>
    <row r="1889">
      <c r="B1889" s="2"/>
    </row>
    <row r="1890">
      <c r="B1890" s="2"/>
    </row>
    <row r="1891">
      <c r="B1891" s="2"/>
    </row>
    <row r="1892">
      <c r="B1892" s="2"/>
    </row>
    <row r="1893">
      <c r="B1893" s="2"/>
    </row>
    <row r="1894">
      <c r="B1894" s="2"/>
    </row>
    <row r="1895">
      <c r="B1895" s="2"/>
    </row>
    <row r="1896">
      <c r="B1896" s="2"/>
    </row>
    <row r="1897">
      <c r="B1897" s="2"/>
    </row>
    <row r="1898">
      <c r="B1898" s="2"/>
    </row>
    <row r="1899">
      <c r="B1899" s="2"/>
    </row>
    <row r="1900">
      <c r="B1900" s="2"/>
    </row>
    <row r="1901">
      <c r="B1901" s="2"/>
    </row>
    <row r="1902">
      <c r="B1902" s="2"/>
    </row>
    <row r="1903">
      <c r="B1903" s="2"/>
    </row>
    <row r="1904">
      <c r="B1904" s="2"/>
    </row>
    <row r="1905">
      <c r="B1905" s="2"/>
    </row>
    <row r="1906">
      <c r="B1906" s="2"/>
    </row>
    <row r="1907">
      <c r="B1907" s="2"/>
    </row>
    <row r="1908">
      <c r="B1908" s="2"/>
    </row>
    <row r="1909">
      <c r="B1909" s="2"/>
    </row>
    <row r="1910">
      <c r="B1910" s="2"/>
    </row>
    <row r="1911">
      <c r="B1911" s="2"/>
    </row>
    <row r="1912">
      <c r="B1912" s="2"/>
    </row>
    <row r="1913">
      <c r="B1913" s="2"/>
    </row>
    <row r="1914">
      <c r="B1914" s="2"/>
    </row>
    <row r="1915">
      <c r="B1915" s="2"/>
    </row>
    <row r="1916">
      <c r="B1916" s="2"/>
    </row>
    <row r="1917">
      <c r="B1917" s="2"/>
    </row>
    <row r="1918">
      <c r="B1918" s="2"/>
    </row>
    <row r="1919">
      <c r="B1919" s="2"/>
    </row>
    <row r="1920">
      <c r="B1920" s="2"/>
    </row>
    <row r="1921">
      <c r="B1921" s="2"/>
    </row>
    <row r="1922">
      <c r="B1922" s="2"/>
    </row>
    <row r="1923">
      <c r="B1923" s="2"/>
    </row>
    <row r="1924">
      <c r="B1924" s="2"/>
    </row>
    <row r="1925">
      <c r="B1925" s="2"/>
    </row>
    <row r="1926">
      <c r="B1926" s="2"/>
    </row>
    <row r="1927">
      <c r="B1927" s="2"/>
    </row>
    <row r="1928">
      <c r="B1928" s="2"/>
    </row>
    <row r="1929">
      <c r="B1929" s="2"/>
    </row>
    <row r="1930">
      <c r="B1930" s="2"/>
    </row>
    <row r="1931">
      <c r="B1931" s="2"/>
    </row>
    <row r="1932">
      <c r="B1932" s="2"/>
    </row>
    <row r="1933">
      <c r="B1933" s="2"/>
    </row>
    <row r="1934">
      <c r="B1934" s="2"/>
    </row>
    <row r="1935">
      <c r="B1935" s="2"/>
    </row>
    <row r="1936">
      <c r="B1936" s="2"/>
    </row>
    <row r="1937">
      <c r="B1937" s="2"/>
    </row>
    <row r="1938">
      <c r="B1938" s="2"/>
    </row>
    <row r="1939">
      <c r="B1939" s="2"/>
    </row>
    <row r="1940">
      <c r="B1940" s="2"/>
    </row>
    <row r="1941">
      <c r="B1941" s="2"/>
    </row>
    <row r="1942">
      <c r="B1942" s="2"/>
    </row>
    <row r="1943">
      <c r="B1943" s="2"/>
    </row>
    <row r="1944">
      <c r="B1944" s="2"/>
    </row>
    <row r="1945">
      <c r="B1945" s="2"/>
    </row>
    <row r="1946">
      <c r="B1946" s="2"/>
    </row>
    <row r="1947">
      <c r="B1947" s="2"/>
    </row>
    <row r="1948">
      <c r="B1948" s="2"/>
    </row>
    <row r="1949">
      <c r="B1949" s="2"/>
    </row>
    <row r="1950">
      <c r="B1950" s="2"/>
    </row>
    <row r="1951">
      <c r="B1951" s="2"/>
    </row>
    <row r="1952">
      <c r="B1952" s="2"/>
    </row>
    <row r="1953">
      <c r="B1953" s="2"/>
    </row>
    <row r="1954">
      <c r="B1954" s="2"/>
    </row>
    <row r="1955">
      <c r="B1955" s="2"/>
    </row>
    <row r="1956">
      <c r="B1956" s="2"/>
    </row>
    <row r="1957">
      <c r="B1957" s="2"/>
    </row>
    <row r="1958">
      <c r="B1958" s="2"/>
    </row>
    <row r="1959">
      <c r="B1959" s="2"/>
    </row>
    <row r="1960">
      <c r="B1960" s="2"/>
    </row>
    <row r="1961">
      <c r="B1961" s="2"/>
    </row>
    <row r="1962">
      <c r="B1962" s="2"/>
    </row>
    <row r="1963">
      <c r="B1963" s="2"/>
    </row>
    <row r="1964">
      <c r="B1964" s="2"/>
    </row>
    <row r="1965">
      <c r="B1965" s="2"/>
    </row>
    <row r="1966">
      <c r="B1966" s="2"/>
    </row>
    <row r="1967">
      <c r="B1967" s="2"/>
    </row>
    <row r="1968">
      <c r="B1968" s="2"/>
    </row>
    <row r="1969">
      <c r="B1969" s="2"/>
    </row>
    <row r="1970">
      <c r="B1970" s="2"/>
    </row>
    <row r="1971">
      <c r="B1971" s="2"/>
    </row>
    <row r="1972">
      <c r="B1972" s="2"/>
    </row>
    <row r="1973">
      <c r="B1973" s="2"/>
    </row>
    <row r="1974">
      <c r="B1974" s="2"/>
    </row>
    <row r="1975">
      <c r="B1975" s="2"/>
    </row>
    <row r="1976">
      <c r="B1976" s="2"/>
    </row>
    <row r="1977">
      <c r="B1977" s="2"/>
    </row>
    <row r="1978">
      <c r="B1978" s="2"/>
    </row>
    <row r="1979">
      <c r="B1979" s="2"/>
    </row>
    <row r="1980">
      <c r="B1980" s="2"/>
    </row>
    <row r="1981">
      <c r="B1981" s="2"/>
    </row>
    <row r="1982">
      <c r="B1982" s="2"/>
    </row>
    <row r="1983">
      <c r="B1983" s="2"/>
    </row>
    <row r="1984">
      <c r="B1984" s="2"/>
    </row>
    <row r="1985">
      <c r="B1985" s="2"/>
    </row>
    <row r="1986">
      <c r="B1986" s="2"/>
    </row>
    <row r="1987">
      <c r="B1987" s="2"/>
    </row>
    <row r="1988">
      <c r="B1988" s="2"/>
    </row>
    <row r="1989">
      <c r="B1989" s="2"/>
    </row>
    <row r="1990">
      <c r="B1990" s="2"/>
    </row>
    <row r="1991">
      <c r="B1991" s="2"/>
    </row>
    <row r="1992">
      <c r="B1992" s="2"/>
    </row>
    <row r="1993">
      <c r="B1993" s="2"/>
    </row>
    <row r="1994">
      <c r="B1994" s="2"/>
    </row>
    <row r="1995">
      <c r="B1995" s="2"/>
    </row>
    <row r="1996">
      <c r="B1996" s="2"/>
    </row>
    <row r="1997">
      <c r="B1997" s="2"/>
    </row>
    <row r="1998">
      <c r="B1998" s="2"/>
    </row>
    <row r="1999">
      <c r="B1999" s="2"/>
    </row>
    <row r="2000">
      <c r="B2000" s="2"/>
    </row>
    <row r="2001">
      <c r="B2001" s="2"/>
    </row>
    <row r="2002">
      <c r="B2002" s="2"/>
    </row>
    <row r="2003">
      <c r="B2003" s="2"/>
    </row>
    <row r="2004">
      <c r="B2004" s="2"/>
    </row>
    <row r="2005">
      <c r="B2005" s="2"/>
    </row>
    <row r="2006">
      <c r="B2006" s="2"/>
    </row>
    <row r="2007">
      <c r="B2007" s="2"/>
    </row>
    <row r="2008">
      <c r="B2008" s="2"/>
    </row>
    <row r="2009">
      <c r="B2009" s="2"/>
    </row>
    <row r="2010">
      <c r="B2010" s="2"/>
    </row>
    <row r="2011">
      <c r="B2011" s="2"/>
    </row>
    <row r="2012">
      <c r="B2012" s="2"/>
    </row>
    <row r="2013">
      <c r="B2013" s="2"/>
    </row>
    <row r="2014">
      <c r="B2014" s="2"/>
    </row>
    <row r="2015">
      <c r="B2015" s="2"/>
    </row>
    <row r="2016">
      <c r="B2016" s="2"/>
    </row>
    <row r="2017">
      <c r="B2017" s="2"/>
    </row>
    <row r="2018">
      <c r="B2018" s="2"/>
    </row>
    <row r="2019">
      <c r="B2019" s="2"/>
    </row>
    <row r="2020">
      <c r="B2020" s="2"/>
    </row>
    <row r="2021">
      <c r="B2021" s="2"/>
    </row>
    <row r="2022">
      <c r="B2022" s="2"/>
    </row>
    <row r="2023">
      <c r="B2023" s="2"/>
    </row>
    <row r="2024">
      <c r="B2024" s="2"/>
    </row>
    <row r="2025">
      <c r="B2025" s="2"/>
    </row>
    <row r="2026">
      <c r="B2026" s="2"/>
    </row>
    <row r="2027">
      <c r="B2027" s="2"/>
    </row>
    <row r="2028">
      <c r="B2028" s="2"/>
    </row>
    <row r="2029">
      <c r="B2029" s="2"/>
    </row>
    <row r="2030">
      <c r="B2030" s="2"/>
    </row>
    <row r="2031">
      <c r="B2031" s="2"/>
    </row>
    <row r="2032">
      <c r="B2032" s="2"/>
    </row>
    <row r="2033">
      <c r="B2033" s="2"/>
    </row>
    <row r="2034">
      <c r="B2034" s="2"/>
    </row>
    <row r="2035">
      <c r="B2035" s="2"/>
    </row>
    <row r="2036">
      <c r="B2036" s="2"/>
    </row>
    <row r="2037">
      <c r="B2037" s="2"/>
    </row>
    <row r="2038">
      <c r="B2038" s="2"/>
    </row>
    <row r="2039">
      <c r="B2039" s="2"/>
    </row>
    <row r="2040">
      <c r="B2040" s="2"/>
    </row>
    <row r="2041">
      <c r="B2041" s="2"/>
    </row>
    <row r="2042">
      <c r="B2042" s="2"/>
    </row>
    <row r="2043">
      <c r="B2043" s="2"/>
    </row>
    <row r="2044">
      <c r="B2044" s="2"/>
    </row>
    <row r="2045">
      <c r="B2045" s="2"/>
    </row>
    <row r="2046">
      <c r="B2046" s="2"/>
    </row>
    <row r="2047">
      <c r="B2047" s="2"/>
    </row>
    <row r="2048">
      <c r="B2048" s="2"/>
    </row>
    <row r="2049">
      <c r="B2049" s="2"/>
    </row>
    <row r="2050">
      <c r="B2050" s="2"/>
    </row>
    <row r="2051">
      <c r="B2051" s="2"/>
    </row>
    <row r="2052">
      <c r="B2052" s="2"/>
    </row>
    <row r="2053">
      <c r="B2053" s="2"/>
    </row>
    <row r="2054">
      <c r="B2054" s="2"/>
    </row>
    <row r="2055">
      <c r="B2055" s="2"/>
    </row>
    <row r="2056">
      <c r="B2056" s="2"/>
    </row>
    <row r="2057">
      <c r="B2057" s="2"/>
    </row>
    <row r="2058">
      <c r="B2058" s="2"/>
    </row>
    <row r="2059">
      <c r="B2059" s="2"/>
    </row>
    <row r="2060">
      <c r="B2060" s="2"/>
    </row>
    <row r="2061">
      <c r="B2061" s="2"/>
    </row>
    <row r="2062">
      <c r="B2062" s="2"/>
    </row>
    <row r="2063">
      <c r="B2063" s="2"/>
    </row>
    <row r="2064">
      <c r="B2064" s="2"/>
    </row>
    <row r="2065">
      <c r="B2065" s="2"/>
    </row>
    <row r="2066">
      <c r="B2066" s="2"/>
    </row>
    <row r="2067">
      <c r="B2067" s="2"/>
    </row>
    <row r="2068">
      <c r="B2068" s="2"/>
    </row>
    <row r="2069">
      <c r="B2069" s="2"/>
    </row>
    <row r="2070">
      <c r="B2070" s="2"/>
    </row>
    <row r="2071">
      <c r="B2071" s="2"/>
    </row>
    <row r="2072">
      <c r="B2072" s="2"/>
    </row>
    <row r="2073">
      <c r="B2073" s="2"/>
    </row>
    <row r="2074">
      <c r="B2074" s="2"/>
    </row>
    <row r="2075">
      <c r="B2075" s="2"/>
    </row>
    <row r="2076">
      <c r="B2076" s="2"/>
    </row>
    <row r="2077">
      <c r="B2077" s="2"/>
    </row>
    <row r="2078">
      <c r="B2078" s="2"/>
    </row>
    <row r="2079">
      <c r="B2079" s="2"/>
    </row>
    <row r="2080">
      <c r="B2080" s="2"/>
    </row>
    <row r="2081">
      <c r="B2081" s="2"/>
    </row>
    <row r="2082">
      <c r="B2082" s="2"/>
    </row>
    <row r="2083">
      <c r="B2083" s="2"/>
    </row>
    <row r="2084">
      <c r="B2084" s="2"/>
    </row>
    <row r="2085">
      <c r="B2085" s="2"/>
    </row>
    <row r="2086">
      <c r="B2086" s="2"/>
    </row>
    <row r="2087">
      <c r="B2087" s="2"/>
    </row>
    <row r="2088">
      <c r="B2088" s="2"/>
    </row>
    <row r="2089">
      <c r="B2089" s="2"/>
    </row>
    <row r="2090">
      <c r="B2090" s="2"/>
    </row>
    <row r="2091">
      <c r="B2091" s="2"/>
    </row>
    <row r="2092">
      <c r="B2092" s="2"/>
    </row>
    <row r="2093">
      <c r="B2093" s="2"/>
    </row>
    <row r="2094">
      <c r="B2094" s="2"/>
    </row>
    <row r="2095">
      <c r="B2095" s="2"/>
    </row>
    <row r="2096">
      <c r="B2096" s="2"/>
    </row>
    <row r="2097">
      <c r="B2097" s="2"/>
    </row>
    <row r="2098">
      <c r="B2098" s="2"/>
    </row>
    <row r="2099">
      <c r="B2099" s="2"/>
    </row>
    <row r="2100">
      <c r="B2100" s="2"/>
    </row>
    <row r="2101">
      <c r="B2101" s="2"/>
    </row>
    <row r="2102">
      <c r="B2102" s="2"/>
    </row>
    <row r="2103">
      <c r="B2103" s="2"/>
    </row>
    <row r="2104">
      <c r="B2104" s="2"/>
    </row>
    <row r="2105">
      <c r="B2105" s="2"/>
    </row>
    <row r="2106">
      <c r="B2106" s="2"/>
    </row>
    <row r="2107">
      <c r="B2107" s="2"/>
    </row>
    <row r="2108">
      <c r="B2108" s="2"/>
    </row>
    <row r="2109">
      <c r="B2109" s="2"/>
    </row>
    <row r="2110">
      <c r="B2110" s="2"/>
    </row>
    <row r="2111">
      <c r="B2111" s="2"/>
    </row>
    <row r="2112">
      <c r="B2112" s="2"/>
    </row>
    <row r="2113">
      <c r="B2113" s="2"/>
    </row>
    <row r="2114">
      <c r="B2114" s="2"/>
    </row>
    <row r="2115">
      <c r="B2115" s="2"/>
    </row>
    <row r="2116">
      <c r="B2116" s="2"/>
    </row>
    <row r="2117">
      <c r="B2117" s="2"/>
    </row>
    <row r="2118">
      <c r="B2118" s="2"/>
    </row>
    <row r="2119">
      <c r="B2119" s="2"/>
    </row>
    <row r="2120">
      <c r="B2120" s="2"/>
    </row>
    <row r="2121">
      <c r="B2121" s="2"/>
    </row>
    <row r="2122">
      <c r="B2122" s="2"/>
    </row>
    <row r="2123">
      <c r="B2123" s="2"/>
    </row>
    <row r="2124">
      <c r="B2124" s="2"/>
    </row>
    <row r="2125">
      <c r="B2125" s="2"/>
    </row>
    <row r="2126">
      <c r="B2126" s="2"/>
    </row>
    <row r="2127">
      <c r="B2127" s="2"/>
    </row>
    <row r="2128">
      <c r="B2128" s="2"/>
    </row>
    <row r="2129">
      <c r="B2129" s="2"/>
    </row>
    <row r="2130">
      <c r="B2130" s="2"/>
    </row>
    <row r="2131">
      <c r="B2131" s="2"/>
    </row>
    <row r="2132">
      <c r="B2132" s="2"/>
    </row>
    <row r="2133">
      <c r="B2133" s="2"/>
    </row>
    <row r="2134">
      <c r="B2134" s="2"/>
    </row>
    <row r="2135">
      <c r="B2135" s="2"/>
    </row>
    <row r="2136">
      <c r="B2136" s="2"/>
    </row>
    <row r="2137">
      <c r="B2137" s="2"/>
    </row>
    <row r="2138">
      <c r="B2138" s="2"/>
    </row>
    <row r="2139">
      <c r="B2139" s="2"/>
    </row>
    <row r="2140">
      <c r="B2140" s="2"/>
    </row>
    <row r="2141">
      <c r="B2141" s="2"/>
    </row>
    <row r="2142">
      <c r="B2142" s="2"/>
    </row>
    <row r="2143">
      <c r="B2143" s="2"/>
    </row>
    <row r="2144">
      <c r="B2144" s="2"/>
    </row>
    <row r="2145">
      <c r="B2145" s="2"/>
    </row>
    <row r="2146">
      <c r="B2146" s="2"/>
    </row>
    <row r="2147">
      <c r="B2147" s="2"/>
    </row>
    <row r="2148">
      <c r="B2148" s="2"/>
    </row>
    <row r="2149">
      <c r="B2149" s="2"/>
    </row>
    <row r="2150">
      <c r="B2150" s="2"/>
    </row>
    <row r="2151">
      <c r="B2151" s="2"/>
    </row>
    <row r="2152">
      <c r="B2152" s="2"/>
    </row>
    <row r="2153">
      <c r="B2153" s="2"/>
    </row>
    <row r="2154">
      <c r="B2154" s="2"/>
    </row>
    <row r="2155">
      <c r="B2155" s="2"/>
    </row>
    <row r="2156">
      <c r="B2156" s="2"/>
    </row>
    <row r="2157">
      <c r="B2157" s="2"/>
    </row>
    <row r="2158">
      <c r="B2158" s="2"/>
    </row>
    <row r="2159">
      <c r="B2159" s="2"/>
    </row>
    <row r="2160">
      <c r="B2160" s="2"/>
    </row>
    <row r="2161">
      <c r="B2161" s="2"/>
    </row>
    <row r="2162">
      <c r="B2162" s="2"/>
    </row>
    <row r="2163">
      <c r="B2163" s="2"/>
    </row>
    <row r="2164">
      <c r="B2164" s="2"/>
    </row>
    <row r="2165">
      <c r="B2165" s="2"/>
    </row>
    <row r="2166">
      <c r="B2166" s="2"/>
    </row>
    <row r="2167">
      <c r="B2167" s="2"/>
    </row>
    <row r="2168">
      <c r="B2168" s="2"/>
    </row>
    <row r="2169">
      <c r="B2169" s="2"/>
    </row>
    <row r="2170">
      <c r="B2170" s="2"/>
    </row>
    <row r="2171">
      <c r="B2171" s="2"/>
    </row>
    <row r="2172">
      <c r="B2172" s="2"/>
    </row>
    <row r="2173">
      <c r="B2173" s="2"/>
    </row>
    <row r="2174">
      <c r="B2174" s="2"/>
    </row>
    <row r="2175">
      <c r="B2175" s="2"/>
    </row>
    <row r="2176">
      <c r="B2176" s="2"/>
    </row>
    <row r="2177">
      <c r="B2177" s="2"/>
    </row>
    <row r="2178">
      <c r="B2178" s="2"/>
    </row>
    <row r="2179">
      <c r="B2179" s="2"/>
    </row>
    <row r="2180">
      <c r="B2180" s="2"/>
    </row>
    <row r="2181">
      <c r="B2181" s="2"/>
    </row>
    <row r="2182">
      <c r="B2182" s="2"/>
    </row>
    <row r="2183">
      <c r="B2183" s="2"/>
    </row>
    <row r="2184">
      <c r="B2184" s="2"/>
    </row>
    <row r="2185">
      <c r="B2185" s="2"/>
    </row>
    <row r="2186">
      <c r="B2186" s="2"/>
    </row>
    <row r="2187">
      <c r="B2187" s="2"/>
    </row>
    <row r="2188">
      <c r="B2188" s="2"/>
    </row>
    <row r="2189">
      <c r="B2189" s="2"/>
    </row>
    <row r="2190">
      <c r="B2190" s="2"/>
    </row>
    <row r="2191">
      <c r="B2191" s="2"/>
    </row>
    <row r="2192">
      <c r="B2192" s="2"/>
    </row>
    <row r="2193">
      <c r="B2193" s="2"/>
    </row>
    <row r="2194">
      <c r="B2194" s="2"/>
    </row>
    <row r="2195">
      <c r="B2195" s="2"/>
    </row>
    <row r="2196">
      <c r="B2196" s="2"/>
    </row>
    <row r="2197">
      <c r="B2197" s="2"/>
    </row>
    <row r="2198">
      <c r="B2198" s="2"/>
    </row>
    <row r="2199">
      <c r="B2199" s="2"/>
    </row>
    <row r="2200">
      <c r="B2200" s="2"/>
    </row>
    <row r="2201">
      <c r="B2201" s="2"/>
    </row>
    <row r="2202">
      <c r="B2202" s="2"/>
    </row>
    <row r="2203">
      <c r="B2203" s="2"/>
    </row>
    <row r="2204">
      <c r="B2204" s="2"/>
    </row>
    <row r="2205">
      <c r="B2205" s="2"/>
    </row>
    <row r="2206">
      <c r="B2206" s="2"/>
    </row>
    <row r="2207">
      <c r="B2207" s="2"/>
    </row>
    <row r="2208">
      <c r="B2208" s="2"/>
    </row>
    <row r="2209">
      <c r="B2209" s="2"/>
    </row>
    <row r="2210">
      <c r="B2210" s="2"/>
    </row>
    <row r="2211">
      <c r="B2211" s="2"/>
    </row>
    <row r="2212">
      <c r="B2212" s="2"/>
    </row>
    <row r="2213">
      <c r="B2213" s="2"/>
    </row>
    <row r="2214">
      <c r="B2214" s="2"/>
    </row>
    <row r="2215">
      <c r="B2215" s="2"/>
    </row>
    <row r="2216">
      <c r="B2216" s="2"/>
    </row>
    <row r="2217">
      <c r="B2217" s="2"/>
    </row>
    <row r="2218">
      <c r="B2218" s="2"/>
    </row>
    <row r="2219">
      <c r="B2219" s="2"/>
    </row>
    <row r="2220">
      <c r="B2220" s="2"/>
    </row>
    <row r="2221">
      <c r="B2221" s="2"/>
    </row>
    <row r="2222">
      <c r="B2222" s="2"/>
    </row>
    <row r="2223">
      <c r="B2223" s="2"/>
    </row>
    <row r="2224">
      <c r="B2224" s="2"/>
    </row>
    <row r="2225">
      <c r="B2225" s="2"/>
    </row>
    <row r="2226">
      <c r="B2226" s="2"/>
    </row>
    <row r="2227">
      <c r="B2227" s="2"/>
    </row>
    <row r="2228">
      <c r="B2228" s="2"/>
    </row>
    <row r="2229">
      <c r="B2229" s="2"/>
    </row>
    <row r="2230">
      <c r="B2230" s="2"/>
    </row>
    <row r="2231">
      <c r="B2231" s="2"/>
    </row>
    <row r="2232">
      <c r="B2232" s="2"/>
    </row>
    <row r="2233">
      <c r="B2233" s="2"/>
    </row>
    <row r="2234">
      <c r="B2234" s="2"/>
    </row>
    <row r="2235">
      <c r="B2235" s="2"/>
    </row>
    <row r="2236">
      <c r="B2236" s="2"/>
    </row>
    <row r="2237">
      <c r="B2237" s="2"/>
    </row>
    <row r="2238">
      <c r="B2238" s="2"/>
    </row>
    <row r="2239">
      <c r="B2239" s="2"/>
    </row>
    <row r="2240">
      <c r="B2240" s="2"/>
    </row>
    <row r="2241">
      <c r="B2241" s="2"/>
    </row>
    <row r="2242">
      <c r="B2242" s="2"/>
    </row>
    <row r="2243">
      <c r="B2243" s="2"/>
    </row>
    <row r="2244">
      <c r="B2244" s="2"/>
    </row>
    <row r="2245">
      <c r="B2245" s="2"/>
    </row>
    <row r="2246">
      <c r="B2246" s="2"/>
    </row>
    <row r="2247">
      <c r="B2247" s="2"/>
    </row>
    <row r="2248">
      <c r="B2248" s="2"/>
    </row>
    <row r="2249">
      <c r="B2249" s="2"/>
    </row>
    <row r="2250">
      <c r="B2250" s="2"/>
    </row>
    <row r="2251">
      <c r="B2251" s="2"/>
    </row>
    <row r="2252">
      <c r="B2252" s="2"/>
    </row>
    <row r="2253">
      <c r="B2253" s="2"/>
    </row>
    <row r="2254">
      <c r="B2254" s="2"/>
    </row>
    <row r="2255">
      <c r="B2255" s="2"/>
    </row>
    <row r="2256">
      <c r="B2256" s="2"/>
    </row>
    <row r="2257">
      <c r="B2257" s="2"/>
    </row>
    <row r="2258">
      <c r="B2258" s="2"/>
    </row>
    <row r="2259">
      <c r="B2259" s="2"/>
    </row>
    <row r="2260">
      <c r="B2260" s="2"/>
    </row>
    <row r="2261">
      <c r="B2261" s="2"/>
    </row>
    <row r="2262">
      <c r="B2262" s="2"/>
    </row>
    <row r="2263">
      <c r="B2263" s="2"/>
    </row>
    <row r="2264">
      <c r="B2264" s="2"/>
    </row>
    <row r="2265">
      <c r="B2265" s="2"/>
    </row>
    <row r="2266">
      <c r="B2266" s="2"/>
    </row>
    <row r="2267">
      <c r="B2267" s="2"/>
    </row>
    <row r="2268">
      <c r="B2268" s="2"/>
    </row>
    <row r="2269">
      <c r="B2269" s="2"/>
    </row>
    <row r="2270">
      <c r="B2270" s="2"/>
    </row>
    <row r="2271">
      <c r="B2271" s="2"/>
    </row>
    <row r="2272">
      <c r="B2272" s="2"/>
    </row>
    <row r="2273">
      <c r="B2273" s="2"/>
    </row>
    <row r="2274">
      <c r="B2274" s="2"/>
    </row>
    <row r="2275">
      <c r="B2275" s="2"/>
    </row>
    <row r="2276">
      <c r="B2276" s="2"/>
    </row>
    <row r="2277">
      <c r="B2277" s="2"/>
    </row>
    <row r="2278">
      <c r="B2278" s="2"/>
    </row>
    <row r="2279">
      <c r="B2279" s="2"/>
    </row>
    <row r="2280">
      <c r="B2280" s="2"/>
    </row>
    <row r="2281">
      <c r="B2281" s="2"/>
    </row>
    <row r="2282">
      <c r="B2282" s="2"/>
    </row>
    <row r="2283">
      <c r="B2283" s="2"/>
    </row>
    <row r="2284">
      <c r="B2284" s="2"/>
    </row>
    <row r="2285">
      <c r="B2285" s="2"/>
    </row>
    <row r="2286">
      <c r="B2286" s="2"/>
    </row>
    <row r="2287">
      <c r="B2287" s="2"/>
    </row>
    <row r="2288">
      <c r="B2288" s="2"/>
    </row>
    <row r="2289">
      <c r="B2289" s="2"/>
    </row>
    <row r="2290">
      <c r="B2290" s="2"/>
    </row>
    <row r="2291">
      <c r="B2291" s="2"/>
    </row>
    <row r="2292">
      <c r="B2292" s="2"/>
    </row>
    <row r="2293">
      <c r="B2293" s="2"/>
    </row>
    <row r="2294">
      <c r="B2294" s="2"/>
    </row>
    <row r="2295">
      <c r="B2295" s="2"/>
    </row>
    <row r="2296">
      <c r="B2296" s="2"/>
    </row>
    <row r="2297">
      <c r="B2297" s="2"/>
    </row>
    <row r="2298">
      <c r="B2298" s="2"/>
    </row>
    <row r="2299">
      <c r="B2299" s="2"/>
    </row>
    <row r="2300">
      <c r="B2300" s="2"/>
    </row>
    <row r="2301">
      <c r="B2301" s="2"/>
    </row>
    <row r="2302">
      <c r="B2302" s="2"/>
    </row>
    <row r="2303">
      <c r="B2303" s="2"/>
    </row>
    <row r="2304">
      <c r="B2304" s="2"/>
    </row>
    <row r="2305">
      <c r="B2305" s="2"/>
    </row>
    <row r="2306">
      <c r="B2306" s="2"/>
    </row>
    <row r="2307">
      <c r="B2307" s="2"/>
    </row>
    <row r="2308">
      <c r="B2308" s="2"/>
    </row>
    <row r="2309">
      <c r="B2309" s="2"/>
    </row>
    <row r="2310">
      <c r="B2310" s="2"/>
    </row>
    <row r="2311">
      <c r="B2311" s="2"/>
    </row>
    <row r="2312">
      <c r="B2312" s="2"/>
    </row>
    <row r="2313">
      <c r="B2313" s="2"/>
    </row>
    <row r="2314">
      <c r="B2314" s="2"/>
    </row>
    <row r="2315">
      <c r="B2315" s="2"/>
    </row>
    <row r="2316">
      <c r="B2316" s="2"/>
    </row>
    <row r="2317">
      <c r="B2317" s="2"/>
    </row>
    <row r="2318">
      <c r="B2318" s="2"/>
    </row>
    <row r="2319">
      <c r="B2319" s="2"/>
    </row>
    <row r="2320">
      <c r="B2320" s="2"/>
    </row>
    <row r="2321">
      <c r="B2321" s="2"/>
    </row>
    <row r="2322">
      <c r="B2322" s="2"/>
    </row>
    <row r="2323">
      <c r="B2323" s="2"/>
    </row>
    <row r="2324">
      <c r="B2324" s="2"/>
    </row>
    <row r="2325">
      <c r="B2325" s="2"/>
    </row>
    <row r="2326">
      <c r="B2326" s="2"/>
    </row>
    <row r="2327">
      <c r="B2327" s="2"/>
    </row>
    <row r="2328">
      <c r="B2328" s="2"/>
    </row>
    <row r="2329">
      <c r="B2329" s="2"/>
    </row>
    <row r="2330">
      <c r="B2330" s="2"/>
    </row>
    <row r="2331">
      <c r="B2331" s="2"/>
    </row>
    <row r="2332">
      <c r="B2332" s="2"/>
    </row>
    <row r="2333">
      <c r="B2333" s="2"/>
    </row>
    <row r="2334">
      <c r="B2334" s="2"/>
    </row>
    <row r="2335">
      <c r="B2335" s="2"/>
    </row>
    <row r="2336">
      <c r="B2336" s="2"/>
    </row>
    <row r="2337">
      <c r="B2337" s="2"/>
    </row>
    <row r="2338">
      <c r="B2338" s="2"/>
    </row>
    <row r="2339">
      <c r="B2339" s="2"/>
    </row>
    <row r="2340">
      <c r="B2340" s="2"/>
    </row>
    <row r="2341">
      <c r="B2341" s="2"/>
    </row>
    <row r="2342">
      <c r="B2342" s="2"/>
    </row>
    <row r="2343">
      <c r="B2343" s="2"/>
    </row>
    <row r="2344">
      <c r="B2344" s="2"/>
    </row>
    <row r="2345">
      <c r="B2345" s="2"/>
    </row>
    <row r="2346">
      <c r="B2346" s="2"/>
    </row>
    <row r="2347">
      <c r="B2347" s="2"/>
    </row>
    <row r="2348">
      <c r="B2348" s="2"/>
    </row>
    <row r="2349">
      <c r="B2349" s="2"/>
    </row>
    <row r="2350">
      <c r="B2350" s="2"/>
    </row>
    <row r="2351">
      <c r="B2351" s="2"/>
    </row>
    <row r="2352">
      <c r="B2352" s="2"/>
    </row>
    <row r="2353">
      <c r="B2353" s="2"/>
    </row>
    <row r="2354">
      <c r="B2354" s="2"/>
    </row>
    <row r="2355">
      <c r="B2355" s="2"/>
    </row>
    <row r="2356">
      <c r="B2356" s="2"/>
    </row>
    <row r="2357">
      <c r="B2357" s="2"/>
    </row>
    <row r="2358">
      <c r="B2358" s="2"/>
    </row>
    <row r="2359">
      <c r="B2359" s="2"/>
    </row>
    <row r="2360">
      <c r="B2360" s="2"/>
    </row>
    <row r="2361">
      <c r="B2361" s="2"/>
    </row>
    <row r="2362">
      <c r="B2362" s="2"/>
    </row>
    <row r="2363">
      <c r="B2363" s="2"/>
    </row>
    <row r="2364">
      <c r="B2364" s="2"/>
    </row>
    <row r="2365">
      <c r="B2365" s="2"/>
    </row>
    <row r="2366">
      <c r="B2366" s="2"/>
    </row>
    <row r="2367">
      <c r="B2367" s="2"/>
    </row>
    <row r="2368">
      <c r="B2368" s="2"/>
    </row>
    <row r="2369">
      <c r="B2369" s="2"/>
    </row>
    <row r="2370">
      <c r="B2370" s="2"/>
    </row>
    <row r="2371">
      <c r="B2371" s="2"/>
    </row>
    <row r="2372">
      <c r="B2372" s="2"/>
    </row>
    <row r="2373">
      <c r="B2373" s="2"/>
    </row>
    <row r="2374">
      <c r="B2374" s="2"/>
    </row>
    <row r="2375">
      <c r="B2375" s="2"/>
    </row>
    <row r="2376">
      <c r="B2376" s="2"/>
    </row>
    <row r="2377">
      <c r="B2377" s="2"/>
    </row>
    <row r="2378">
      <c r="B2378" s="2"/>
    </row>
    <row r="2379">
      <c r="B2379" s="2"/>
    </row>
    <row r="2380">
      <c r="B2380" s="2"/>
    </row>
    <row r="2381">
      <c r="B2381" s="2"/>
    </row>
    <row r="2382">
      <c r="B2382" s="2"/>
    </row>
    <row r="2383">
      <c r="B2383" s="2"/>
    </row>
    <row r="2384">
      <c r="B2384" s="2"/>
    </row>
    <row r="2385">
      <c r="B2385" s="2"/>
    </row>
    <row r="2386">
      <c r="B2386" s="2"/>
    </row>
    <row r="2387">
      <c r="B2387" s="2"/>
    </row>
    <row r="2388">
      <c r="B2388" s="2"/>
    </row>
    <row r="2389">
      <c r="B2389" s="2"/>
    </row>
    <row r="2390">
      <c r="B2390" s="2"/>
    </row>
    <row r="2391">
      <c r="B2391" s="2"/>
    </row>
    <row r="2392">
      <c r="B2392" s="2"/>
    </row>
    <row r="2393">
      <c r="B2393" s="2"/>
    </row>
    <row r="2394">
      <c r="B2394" s="2"/>
    </row>
    <row r="2395">
      <c r="B2395" s="2"/>
    </row>
    <row r="2396">
      <c r="B2396" s="2"/>
    </row>
    <row r="2397">
      <c r="B2397" s="2"/>
    </row>
    <row r="2398">
      <c r="B2398" s="2"/>
    </row>
    <row r="2399">
      <c r="B2399" s="2"/>
    </row>
    <row r="2400">
      <c r="B2400" s="2"/>
    </row>
    <row r="2401">
      <c r="B2401" s="2"/>
    </row>
    <row r="2402">
      <c r="B2402" s="2"/>
    </row>
    <row r="2403">
      <c r="B2403" s="2"/>
    </row>
    <row r="2404">
      <c r="B2404" s="2"/>
    </row>
    <row r="2405">
      <c r="B2405" s="2"/>
    </row>
    <row r="2406">
      <c r="B2406" s="2"/>
    </row>
    <row r="2407">
      <c r="B2407" s="2"/>
    </row>
    <row r="2408">
      <c r="B2408" s="2"/>
    </row>
    <row r="2409">
      <c r="B2409" s="2"/>
    </row>
    <row r="2410">
      <c r="B2410" s="2"/>
    </row>
    <row r="2411">
      <c r="B2411" s="2"/>
    </row>
    <row r="2412">
      <c r="B2412" s="2"/>
    </row>
    <row r="2413">
      <c r="B2413" s="2"/>
    </row>
    <row r="2414">
      <c r="B2414" s="2"/>
    </row>
    <row r="2415">
      <c r="B2415" s="2"/>
    </row>
    <row r="2416">
      <c r="B2416" s="2"/>
    </row>
    <row r="2417">
      <c r="B2417" s="2"/>
    </row>
    <row r="2418">
      <c r="B2418" s="2"/>
    </row>
    <row r="2419">
      <c r="B2419" s="2"/>
    </row>
    <row r="2420">
      <c r="B2420" s="2"/>
    </row>
    <row r="2421">
      <c r="B2421" s="2"/>
    </row>
    <row r="2422">
      <c r="B2422" s="2"/>
    </row>
    <row r="2423">
      <c r="B2423" s="2"/>
    </row>
    <row r="2424">
      <c r="B2424" s="2"/>
    </row>
    <row r="2425">
      <c r="B2425" s="2"/>
    </row>
    <row r="2426">
      <c r="B2426" s="2"/>
    </row>
    <row r="2427">
      <c r="B2427" s="2"/>
    </row>
    <row r="2428">
      <c r="B2428" s="2"/>
    </row>
    <row r="2429">
      <c r="B2429" s="2"/>
    </row>
    <row r="2430">
      <c r="B2430" s="2"/>
    </row>
    <row r="2431">
      <c r="B2431" s="2"/>
    </row>
    <row r="2432">
      <c r="B2432" s="2"/>
    </row>
    <row r="2433">
      <c r="B2433" s="2"/>
    </row>
    <row r="2434">
      <c r="B2434" s="2"/>
    </row>
    <row r="2435">
      <c r="B2435" s="2"/>
    </row>
    <row r="2436">
      <c r="B2436" s="2"/>
    </row>
    <row r="2437">
      <c r="B2437" s="2"/>
    </row>
    <row r="2438">
      <c r="B2438" s="2"/>
    </row>
    <row r="2439">
      <c r="B2439" s="2"/>
    </row>
    <row r="2440">
      <c r="B2440" s="2"/>
    </row>
    <row r="2441">
      <c r="B2441" s="2"/>
    </row>
    <row r="2442">
      <c r="B2442" s="2"/>
    </row>
    <row r="2443">
      <c r="B2443" s="2"/>
    </row>
    <row r="2444">
      <c r="B2444" s="2"/>
    </row>
    <row r="2445">
      <c r="B2445" s="2"/>
    </row>
    <row r="2446">
      <c r="B2446" s="2"/>
    </row>
    <row r="2447">
      <c r="B2447" s="2"/>
    </row>
    <row r="2448">
      <c r="B2448" s="2"/>
    </row>
    <row r="2449">
      <c r="B2449" s="2"/>
    </row>
    <row r="2450">
      <c r="B2450" s="2"/>
    </row>
    <row r="2451">
      <c r="B2451" s="2"/>
    </row>
    <row r="2452">
      <c r="B2452" s="2"/>
    </row>
    <row r="2453">
      <c r="B2453" s="2"/>
    </row>
    <row r="2454">
      <c r="B2454" s="2"/>
    </row>
    <row r="2455">
      <c r="B2455" s="2"/>
    </row>
    <row r="2456">
      <c r="B2456" s="2"/>
    </row>
    <row r="2457">
      <c r="B2457" s="2"/>
    </row>
    <row r="2458">
      <c r="B2458" s="2"/>
    </row>
    <row r="2459">
      <c r="B2459" s="2"/>
    </row>
    <row r="2460">
      <c r="B2460" s="2"/>
    </row>
    <row r="2461">
      <c r="B2461" s="2"/>
    </row>
    <row r="2462">
      <c r="B2462" s="2"/>
    </row>
    <row r="2463">
      <c r="B2463" s="2"/>
    </row>
    <row r="2464">
      <c r="B2464" s="2"/>
    </row>
    <row r="2465">
      <c r="B2465" s="2"/>
    </row>
    <row r="2466">
      <c r="B2466" s="2"/>
    </row>
    <row r="2467">
      <c r="B2467" s="2"/>
    </row>
    <row r="2468">
      <c r="B2468" s="2"/>
    </row>
    <row r="2469">
      <c r="B2469" s="2"/>
    </row>
    <row r="2470">
      <c r="B2470" s="2"/>
    </row>
    <row r="2471">
      <c r="B2471" s="2"/>
    </row>
    <row r="2472">
      <c r="B2472" s="2"/>
    </row>
    <row r="2473">
      <c r="B2473" s="2"/>
    </row>
    <row r="2474">
      <c r="B2474" s="2"/>
    </row>
    <row r="2475">
      <c r="B2475" s="2"/>
    </row>
    <row r="2476">
      <c r="B2476" s="2"/>
    </row>
    <row r="2477">
      <c r="B2477" s="2"/>
    </row>
    <row r="2478">
      <c r="B2478" s="2"/>
    </row>
    <row r="2479">
      <c r="B2479" s="2"/>
    </row>
    <row r="2480">
      <c r="B2480" s="2"/>
    </row>
    <row r="2481">
      <c r="B2481" s="2"/>
    </row>
    <row r="2482">
      <c r="B2482" s="2"/>
    </row>
    <row r="2483">
      <c r="B2483" s="2"/>
    </row>
    <row r="2484">
      <c r="B2484" s="2"/>
    </row>
    <row r="2485">
      <c r="B2485" s="2"/>
    </row>
    <row r="2486">
      <c r="B2486" s="2"/>
    </row>
    <row r="2487">
      <c r="B2487" s="2"/>
    </row>
    <row r="2488">
      <c r="B2488" s="2"/>
    </row>
    <row r="2489">
      <c r="B2489" s="2"/>
    </row>
    <row r="2490">
      <c r="B2490" s="2"/>
    </row>
    <row r="2491">
      <c r="B2491" s="2"/>
    </row>
    <row r="2492">
      <c r="B2492" s="2"/>
    </row>
    <row r="2493">
      <c r="B2493" s="2"/>
    </row>
    <row r="2494">
      <c r="B2494" s="2"/>
    </row>
    <row r="2495">
      <c r="B2495" s="2"/>
    </row>
    <row r="2496">
      <c r="B2496" s="2"/>
    </row>
    <row r="2497">
      <c r="B2497" s="2"/>
    </row>
    <row r="2498">
      <c r="B2498" s="2"/>
    </row>
    <row r="2499">
      <c r="B2499" s="2"/>
    </row>
    <row r="2500">
      <c r="B2500" s="2"/>
    </row>
    <row r="2501">
      <c r="B2501" s="2"/>
    </row>
    <row r="2502">
      <c r="B2502" s="2"/>
    </row>
    <row r="2503">
      <c r="B2503" s="2"/>
    </row>
    <row r="2504">
      <c r="B2504" s="2"/>
    </row>
    <row r="2505">
      <c r="B2505" s="2"/>
    </row>
    <row r="2506">
      <c r="B2506" s="2"/>
    </row>
    <row r="2507">
      <c r="B2507" s="2"/>
    </row>
    <row r="2508">
      <c r="B2508" s="2"/>
    </row>
    <row r="2509">
      <c r="B2509" s="2"/>
    </row>
    <row r="2510">
      <c r="B2510" s="2"/>
    </row>
    <row r="2511">
      <c r="B2511" s="2"/>
    </row>
    <row r="2512">
      <c r="B2512" s="2"/>
    </row>
    <row r="2513">
      <c r="B2513" s="2"/>
    </row>
    <row r="2514">
      <c r="B2514" s="2"/>
    </row>
    <row r="2515">
      <c r="B2515" s="2"/>
    </row>
    <row r="2516">
      <c r="B2516" s="2"/>
    </row>
    <row r="2517">
      <c r="B2517" s="2"/>
    </row>
    <row r="2518">
      <c r="B2518" s="2"/>
    </row>
    <row r="2519">
      <c r="B2519" s="2"/>
    </row>
    <row r="2520">
      <c r="B2520" s="2"/>
    </row>
    <row r="2521">
      <c r="B2521" s="2"/>
    </row>
    <row r="2522">
      <c r="B2522" s="2"/>
    </row>
    <row r="2523">
      <c r="B2523" s="2"/>
    </row>
    <row r="2524">
      <c r="B2524" s="2"/>
    </row>
    <row r="2525">
      <c r="B2525" s="2"/>
    </row>
    <row r="2526">
      <c r="B2526" s="2"/>
    </row>
    <row r="2527">
      <c r="B2527" s="2"/>
    </row>
    <row r="2528">
      <c r="B2528" s="2"/>
    </row>
    <row r="2529">
      <c r="B2529" s="2"/>
    </row>
    <row r="2530">
      <c r="B2530" s="2"/>
    </row>
    <row r="2531">
      <c r="B2531" s="2"/>
    </row>
    <row r="2532">
      <c r="B2532" s="2"/>
    </row>
    <row r="2533">
      <c r="B2533" s="2"/>
    </row>
    <row r="2534">
      <c r="B2534" s="2"/>
    </row>
    <row r="2535">
      <c r="B2535" s="2"/>
    </row>
    <row r="2536">
      <c r="B2536" s="2"/>
    </row>
    <row r="2537">
      <c r="B2537" s="2"/>
    </row>
    <row r="2538">
      <c r="B2538" s="2"/>
    </row>
    <row r="2539">
      <c r="B2539" s="2"/>
    </row>
    <row r="2540">
      <c r="B2540" s="2"/>
    </row>
    <row r="2541">
      <c r="B2541" s="2"/>
    </row>
    <row r="2542">
      <c r="B2542" s="2"/>
    </row>
    <row r="2543">
      <c r="B2543" s="2"/>
    </row>
    <row r="2544">
      <c r="B2544" s="2"/>
    </row>
    <row r="2545">
      <c r="B2545" s="2"/>
    </row>
    <row r="2546">
      <c r="B2546" s="2"/>
    </row>
    <row r="2547">
      <c r="B2547" s="2"/>
    </row>
    <row r="2548">
      <c r="B2548" s="2"/>
    </row>
    <row r="2549">
      <c r="B2549" s="2"/>
    </row>
    <row r="2550">
      <c r="B2550" s="2"/>
    </row>
    <row r="2551">
      <c r="B2551" s="2"/>
    </row>
    <row r="2552">
      <c r="B2552" s="2"/>
    </row>
    <row r="2553">
      <c r="B2553" s="2"/>
    </row>
    <row r="2554">
      <c r="B2554" s="2"/>
    </row>
    <row r="2555">
      <c r="B2555" s="2"/>
    </row>
    <row r="2556">
      <c r="B2556" s="2"/>
    </row>
    <row r="2557">
      <c r="B2557" s="2"/>
    </row>
    <row r="2558">
      <c r="B2558" s="2"/>
    </row>
    <row r="2559">
      <c r="B2559" s="2"/>
    </row>
    <row r="2560">
      <c r="B2560" s="2"/>
    </row>
    <row r="2561">
      <c r="B2561" s="2"/>
    </row>
    <row r="2562">
      <c r="B2562" s="2"/>
    </row>
    <row r="2563">
      <c r="B2563" s="2"/>
    </row>
    <row r="2564">
      <c r="B2564" s="2"/>
    </row>
    <row r="2565">
      <c r="B2565" s="2"/>
    </row>
    <row r="2566">
      <c r="B2566" s="2"/>
    </row>
    <row r="2567">
      <c r="B2567" s="2"/>
    </row>
    <row r="2568">
      <c r="B2568" s="2"/>
    </row>
    <row r="2569">
      <c r="B2569" s="2"/>
    </row>
    <row r="2570">
      <c r="B2570" s="2"/>
    </row>
    <row r="2571">
      <c r="B2571" s="2"/>
    </row>
    <row r="2572">
      <c r="B2572" s="2"/>
    </row>
    <row r="2573">
      <c r="B2573" s="2"/>
    </row>
    <row r="2574">
      <c r="B2574" s="2"/>
    </row>
    <row r="2575">
      <c r="B2575" s="2"/>
    </row>
    <row r="2576">
      <c r="B2576" s="2"/>
    </row>
    <row r="2577">
      <c r="B2577" s="2"/>
    </row>
    <row r="2578">
      <c r="B2578" s="2"/>
    </row>
    <row r="2579">
      <c r="B2579" s="2"/>
    </row>
    <row r="2580">
      <c r="B2580" s="2"/>
    </row>
    <row r="2581">
      <c r="B2581" s="2"/>
    </row>
    <row r="2582">
      <c r="B2582" s="2"/>
    </row>
    <row r="2583">
      <c r="B2583" s="2"/>
    </row>
    <row r="2584">
      <c r="B2584" s="2"/>
    </row>
    <row r="2585">
      <c r="B2585" s="2"/>
    </row>
    <row r="2586">
      <c r="B2586" s="2"/>
    </row>
    <row r="2587">
      <c r="B2587" s="2"/>
    </row>
    <row r="2588">
      <c r="B2588" s="2"/>
    </row>
    <row r="2589">
      <c r="B2589" s="2"/>
    </row>
    <row r="2590">
      <c r="B2590" s="2"/>
    </row>
    <row r="2591">
      <c r="B2591" s="2"/>
    </row>
    <row r="2592">
      <c r="B2592" s="2"/>
    </row>
    <row r="2593">
      <c r="B2593" s="2"/>
    </row>
    <row r="2594">
      <c r="B2594" s="2"/>
    </row>
    <row r="2595">
      <c r="B2595" s="2"/>
    </row>
    <row r="2596">
      <c r="B2596" s="2"/>
    </row>
    <row r="2597">
      <c r="B2597" s="2"/>
    </row>
    <row r="2598">
      <c r="B2598" s="2"/>
    </row>
    <row r="2599">
      <c r="B2599" s="2"/>
    </row>
    <row r="2600">
      <c r="B2600" s="2"/>
    </row>
    <row r="2601">
      <c r="B2601" s="2"/>
    </row>
    <row r="2602">
      <c r="B2602" s="2"/>
    </row>
    <row r="2603">
      <c r="B2603" s="2"/>
    </row>
    <row r="2604">
      <c r="B2604" s="2"/>
    </row>
    <row r="2605">
      <c r="B2605" s="2"/>
    </row>
    <row r="2606">
      <c r="B2606" s="2"/>
    </row>
    <row r="2607">
      <c r="B2607" s="2"/>
    </row>
    <row r="2608">
      <c r="B2608" s="2"/>
    </row>
    <row r="2609">
      <c r="B2609" s="2"/>
    </row>
    <row r="2610">
      <c r="B2610" s="2"/>
    </row>
    <row r="2611">
      <c r="B2611" s="2"/>
    </row>
    <row r="2612">
      <c r="B2612" s="2"/>
    </row>
    <row r="2613">
      <c r="B2613" s="2"/>
    </row>
    <row r="2614">
      <c r="B2614" s="2"/>
    </row>
    <row r="2615">
      <c r="B2615" s="2"/>
    </row>
    <row r="2616">
      <c r="B2616" s="2"/>
    </row>
    <row r="2617">
      <c r="B2617" s="2"/>
    </row>
    <row r="2618">
      <c r="B2618" s="2"/>
    </row>
    <row r="2619">
      <c r="B2619" s="2"/>
    </row>
    <row r="2620">
      <c r="B2620" s="2"/>
    </row>
    <row r="2621">
      <c r="B2621" s="2"/>
    </row>
    <row r="2622">
      <c r="B2622" s="2"/>
    </row>
    <row r="2623">
      <c r="B2623" s="2"/>
    </row>
    <row r="2624">
      <c r="B2624" s="2"/>
    </row>
    <row r="2625">
      <c r="B2625" s="2"/>
    </row>
    <row r="2626">
      <c r="B2626" s="2"/>
    </row>
    <row r="2627">
      <c r="B2627" s="2"/>
    </row>
    <row r="2628">
      <c r="B2628" s="2"/>
    </row>
    <row r="2629">
      <c r="B2629" s="2"/>
    </row>
    <row r="2630">
      <c r="B2630" s="2"/>
    </row>
    <row r="2631">
      <c r="B2631" s="2"/>
    </row>
    <row r="2632">
      <c r="B2632" s="2"/>
    </row>
    <row r="2633">
      <c r="B2633" s="2"/>
    </row>
    <row r="2634">
      <c r="B2634" s="2"/>
    </row>
    <row r="2635">
      <c r="B2635" s="2"/>
    </row>
    <row r="2636">
      <c r="B2636" s="2"/>
    </row>
    <row r="2637">
      <c r="B2637" s="2"/>
    </row>
    <row r="2638">
      <c r="B2638" s="2"/>
    </row>
    <row r="2639">
      <c r="B2639" s="2"/>
    </row>
    <row r="2640">
      <c r="B2640" s="2"/>
    </row>
    <row r="2641">
      <c r="B2641" s="2"/>
    </row>
    <row r="2642">
      <c r="B2642" s="2"/>
    </row>
    <row r="2643">
      <c r="B2643" s="2"/>
    </row>
    <row r="2644">
      <c r="B2644" s="2"/>
    </row>
    <row r="2645">
      <c r="B2645" s="2"/>
    </row>
    <row r="2646">
      <c r="B2646" s="2"/>
    </row>
    <row r="2647">
      <c r="B2647" s="2"/>
    </row>
    <row r="2648">
      <c r="B2648" s="2"/>
    </row>
    <row r="2649">
      <c r="B2649" s="2"/>
    </row>
    <row r="2650">
      <c r="B2650" s="2"/>
    </row>
    <row r="2651">
      <c r="B2651" s="2"/>
    </row>
    <row r="2652">
      <c r="B2652" s="2"/>
    </row>
    <row r="2653">
      <c r="B2653" s="2"/>
    </row>
    <row r="2654">
      <c r="B2654" s="2"/>
    </row>
    <row r="2655">
      <c r="B2655" s="2"/>
    </row>
    <row r="2656">
      <c r="B2656" s="2"/>
    </row>
    <row r="2657">
      <c r="B2657" s="2"/>
    </row>
    <row r="2658">
      <c r="B2658" s="2"/>
    </row>
    <row r="2659">
      <c r="B2659" s="2"/>
    </row>
    <row r="2660">
      <c r="B2660" s="2"/>
    </row>
    <row r="2661">
      <c r="B2661" s="2"/>
    </row>
    <row r="2662">
      <c r="B2662" s="2"/>
    </row>
    <row r="2663">
      <c r="B2663" s="2"/>
    </row>
    <row r="2664">
      <c r="B2664" s="2"/>
    </row>
    <row r="2665">
      <c r="B2665" s="2"/>
    </row>
    <row r="2666">
      <c r="B2666" s="2"/>
    </row>
    <row r="2667">
      <c r="B2667" s="2"/>
    </row>
    <row r="2668">
      <c r="B2668" s="2"/>
    </row>
    <row r="2669">
      <c r="B2669" s="2"/>
    </row>
    <row r="2670">
      <c r="B2670" s="2"/>
    </row>
    <row r="2671">
      <c r="B2671" s="2"/>
    </row>
    <row r="2672">
      <c r="B2672" s="2"/>
    </row>
    <row r="2673">
      <c r="B2673" s="2"/>
    </row>
    <row r="2674">
      <c r="B2674" s="2"/>
    </row>
    <row r="2675">
      <c r="B2675" s="2"/>
    </row>
    <row r="2676">
      <c r="B2676" s="2"/>
    </row>
    <row r="2677">
      <c r="B2677" s="2"/>
    </row>
    <row r="2678">
      <c r="B2678" s="2"/>
    </row>
    <row r="2679">
      <c r="B2679" s="2"/>
    </row>
    <row r="2680">
      <c r="B2680" s="2"/>
    </row>
    <row r="2681">
      <c r="B2681" s="2"/>
    </row>
    <row r="2682">
      <c r="B2682" s="2"/>
    </row>
    <row r="2683">
      <c r="B2683" s="2"/>
    </row>
    <row r="2684">
      <c r="B2684" s="2"/>
    </row>
    <row r="2685">
      <c r="B2685" s="2"/>
    </row>
    <row r="2686">
      <c r="B2686" s="2"/>
    </row>
    <row r="2687">
      <c r="B2687" s="2"/>
    </row>
    <row r="2688">
      <c r="B2688" s="2"/>
    </row>
    <row r="2689">
      <c r="B2689" s="2"/>
    </row>
    <row r="2690">
      <c r="B2690" s="2"/>
    </row>
    <row r="2691">
      <c r="B2691" s="2"/>
    </row>
    <row r="2692">
      <c r="B2692" s="2"/>
    </row>
    <row r="2693">
      <c r="B2693" s="2"/>
    </row>
    <row r="2694">
      <c r="B2694" s="2"/>
    </row>
    <row r="2695">
      <c r="B2695" s="2"/>
    </row>
    <row r="2696">
      <c r="B2696" s="2"/>
    </row>
    <row r="2697">
      <c r="B2697" s="2"/>
    </row>
    <row r="2698">
      <c r="B2698" s="2"/>
    </row>
    <row r="2699">
      <c r="B2699" s="2"/>
    </row>
    <row r="2700">
      <c r="B2700" s="2"/>
    </row>
    <row r="2701">
      <c r="B2701" s="2"/>
    </row>
    <row r="2702">
      <c r="B2702" s="2"/>
    </row>
    <row r="2703">
      <c r="B2703" s="2"/>
    </row>
    <row r="2704">
      <c r="B2704" s="2"/>
    </row>
    <row r="2705">
      <c r="B2705" s="2"/>
    </row>
    <row r="2706">
      <c r="B2706" s="2"/>
    </row>
    <row r="2707">
      <c r="B2707" s="2"/>
    </row>
    <row r="2708">
      <c r="B2708" s="2"/>
    </row>
    <row r="2709">
      <c r="B2709" s="2"/>
    </row>
    <row r="2710">
      <c r="B2710" s="2"/>
    </row>
    <row r="2711">
      <c r="B2711" s="2"/>
    </row>
    <row r="2712">
      <c r="B2712" s="2"/>
    </row>
    <row r="2713">
      <c r="B2713" s="2"/>
    </row>
    <row r="2714">
      <c r="B2714" s="2"/>
    </row>
    <row r="2715">
      <c r="B2715" s="2"/>
    </row>
    <row r="2716">
      <c r="B2716" s="2"/>
    </row>
    <row r="2717">
      <c r="B2717" s="2"/>
    </row>
    <row r="2718">
      <c r="B2718" s="2"/>
    </row>
    <row r="2719">
      <c r="B2719" s="2"/>
    </row>
    <row r="2720">
      <c r="B2720" s="2"/>
    </row>
    <row r="2721">
      <c r="B2721" s="2"/>
    </row>
    <row r="2722">
      <c r="B2722" s="2"/>
    </row>
    <row r="2723">
      <c r="B2723" s="2"/>
    </row>
    <row r="2724">
      <c r="B2724" s="2"/>
    </row>
    <row r="2725">
      <c r="B2725" s="2"/>
    </row>
    <row r="2726">
      <c r="B2726" s="2"/>
    </row>
    <row r="2727">
      <c r="B2727" s="2"/>
    </row>
    <row r="2728">
      <c r="B2728" s="2"/>
    </row>
    <row r="2729">
      <c r="B2729" s="2"/>
    </row>
    <row r="2730">
      <c r="B2730" s="2"/>
    </row>
    <row r="2731">
      <c r="B2731" s="2"/>
    </row>
    <row r="2732">
      <c r="B2732" s="2"/>
    </row>
    <row r="2733">
      <c r="B2733" s="2"/>
    </row>
    <row r="2734">
      <c r="B2734" s="2"/>
    </row>
    <row r="2735">
      <c r="B2735" s="2"/>
    </row>
    <row r="2736">
      <c r="B2736" s="2"/>
    </row>
    <row r="2737">
      <c r="B2737" s="2"/>
    </row>
    <row r="2738">
      <c r="B2738" s="2"/>
    </row>
    <row r="2739">
      <c r="B2739" s="2"/>
    </row>
    <row r="2740">
      <c r="B2740" s="2"/>
    </row>
    <row r="2741">
      <c r="B2741" s="2"/>
    </row>
    <row r="2742">
      <c r="B2742" s="2"/>
    </row>
    <row r="2743">
      <c r="B2743" s="2"/>
    </row>
    <row r="2744">
      <c r="B2744" s="2"/>
    </row>
    <row r="2745">
      <c r="B2745" s="2"/>
    </row>
    <row r="2746">
      <c r="B2746" s="2"/>
    </row>
    <row r="2747">
      <c r="B2747" s="2"/>
    </row>
    <row r="2748">
      <c r="B2748" s="2"/>
    </row>
    <row r="2749">
      <c r="B2749" s="2"/>
    </row>
    <row r="2750">
      <c r="B2750" s="2"/>
    </row>
    <row r="2751">
      <c r="B2751" s="2"/>
    </row>
    <row r="2752">
      <c r="B2752" s="2"/>
    </row>
    <row r="2753">
      <c r="B2753" s="2"/>
    </row>
    <row r="2754">
      <c r="B2754" s="2"/>
    </row>
    <row r="2755">
      <c r="B2755" s="2"/>
    </row>
    <row r="2756">
      <c r="B2756" s="2"/>
    </row>
    <row r="2757">
      <c r="B2757" s="2"/>
    </row>
    <row r="2758">
      <c r="B2758" s="2"/>
    </row>
    <row r="2759">
      <c r="B2759" s="2"/>
    </row>
    <row r="2760">
      <c r="B2760" s="2"/>
    </row>
    <row r="2761">
      <c r="B2761" s="2"/>
    </row>
    <row r="2762">
      <c r="B2762" s="2"/>
    </row>
    <row r="2763">
      <c r="B2763" s="2"/>
    </row>
    <row r="2764">
      <c r="B2764" s="2"/>
    </row>
    <row r="2765">
      <c r="B2765" s="2"/>
    </row>
    <row r="2766">
      <c r="B2766" s="2"/>
    </row>
    <row r="2767">
      <c r="B2767" s="2"/>
    </row>
    <row r="2768">
      <c r="B2768" s="2"/>
    </row>
    <row r="2769">
      <c r="B2769" s="2"/>
    </row>
    <row r="2770">
      <c r="B2770" s="2"/>
    </row>
    <row r="2771">
      <c r="B2771" s="2"/>
    </row>
    <row r="2772">
      <c r="B2772" s="2"/>
    </row>
    <row r="2773">
      <c r="B2773" s="2"/>
    </row>
    <row r="2774">
      <c r="B2774" s="2"/>
    </row>
    <row r="2775">
      <c r="B2775" s="2"/>
    </row>
    <row r="2776">
      <c r="B2776" s="2"/>
    </row>
    <row r="2777">
      <c r="B2777" s="2"/>
    </row>
    <row r="2778">
      <c r="B2778" s="2"/>
    </row>
    <row r="2779">
      <c r="B2779" s="2"/>
    </row>
    <row r="2780">
      <c r="B2780" s="2"/>
    </row>
    <row r="2781">
      <c r="B2781" s="2"/>
    </row>
    <row r="2782">
      <c r="B2782" s="2"/>
    </row>
    <row r="2783">
      <c r="B2783" s="2"/>
    </row>
    <row r="2784">
      <c r="B2784" s="2"/>
    </row>
    <row r="2785">
      <c r="B2785" s="2"/>
    </row>
    <row r="2786">
      <c r="B2786" s="2"/>
    </row>
    <row r="2787">
      <c r="B2787" s="2"/>
    </row>
    <row r="2788">
      <c r="B2788" s="2"/>
    </row>
    <row r="2789">
      <c r="B2789" s="2"/>
    </row>
    <row r="2790">
      <c r="B2790" s="2"/>
    </row>
    <row r="2791">
      <c r="B2791" s="2"/>
    </row>
    <row r="2792">
      <c r="B2792" s="2"/>
    </row>
    <row r="2793">
      <c r="B2793" s="2"/>
    </row>
    <row r="2794">
      <c r="B2794" s="2"/>
    </row>
    <row r="2795">
      <c r="B2795" s="2"/>
    </row>
    <row r="2796">
      <c r="B2796" s="2"/>
    </row>
    <row r="2797">
      <c r="B2797" s="2"/>
    </row>
    <row r="2798">
      <c r="B2798" s="2"/>
    </row>
    <row r="2799">
      <c r="B2799" s="2"/>
    </row>
    <row r="2800">
      <c r="B2800" s="2"/>
    </row>
    <row r="2801">
      <c r="B2801" s="2"/>
    </row>
    <row r="2802">
      <c r="B2802" s="2"/>
    </row>
    <row r="2803">
      <c r="B2803" s="2"/>
    </row>
    <row r="2804">
      <c r="B2804" s="2"/>
    </row>
    <row r="2805">
      <c r="B2805" s="2"/>
    </row>
    <row r="2806">
      <c r="B2806" s="2"/>
    </row>
    <row r="2807">
      <c r="B2807" s="2"/>
    </row>
    <row r="2808">
      <c r="B2808" s="2"/>
    </row>
    <row r="2809">
      <c r="B2809" s="2"/>
    </row>
    <row r="2810">
      <c r="B2810" s="2"/>
    </row>
    <row r="2811">
      <c r="B2811" s="2"/>
    </row>
    <row r="2812">
      <c r="B2812" s="2"/>
    </row>
    <row r="2813">
      <c r="B2813" s="2"/>
    </row>
    <row r="2814">
      <c r="B2814" s="2"/>
    </row>
    <row r="2815">
      <c r="B2815" s="2"/>
    </row>
    <row r="2816">
      <c r="B2816" s="2"/>
    </row>
    <row r="2817">
      <c r="B2817" s="2"/>
    </row>
    <row r="2818">
      <c r="B2818" s="2"/>
    </row>
    <row r="2819">
      <c r="B2819" s="2"/>
    </row>
    <row r="2820">
      <c r="B2820" s="2"/>
    </row>
    <row r="2821">
      <c r="B2821" s="2"/>
    </row>
    <row r="2822">
      <c r="B2822" s="2"/>
    </row>
    <row r="2823">
      <c r="B2823" s="2"/>
    </row>
    <row r="2824">
      <c r="B2824" s="2"/>
    </row>
    <row r="2825">
      <c r="B2825" s="2"/>
    </row>
    <row r="2826">
      <c r="B2826" s="2"/>
    </row>
    <row r="2827">
      <c r="B2827" s="2"/>
    </row>
    <row r="2828">
      <c r="B2828" s="2"/>
    </row>
    <row r="2829">
      <c r="B2829" s="2"/>
    </row>
    <row r="2830">
      <c r="B2830" s="2"/>
    </row>
    <row r="2831">
      <c r="B2831" s="2"/>
    </row>
    <row r="2832">
      <c r="B2832" s="2"/>
    </row>
    <row r="2833">
      <c r="B2833" s="2"/>
    </row>
    <row r="2834">
      <c r="B2834" s="2"/>
    </row>
    <row r="2835">
      <c r="B2835" s="2"/>
    </row>
    <row r="2836">
      <c r="B2836" s="2"/>
    </row>
    <row r="2837">
      <c r="B2837" s="2"/>
    </row>
    <row r="2838">
      <c r="B2838" s="2"/>
    </row>
    <row r="2839">
      <c r="B2839" s="2"/>
    </row>
    <row r="2840">
      <c r="B2840" s="2"/>
    </row>
    <row r="2841">
      <c r="B2841" s="2"/>
    </row>
    <row r="2842">
      <c r="B2842" s="2"/>
    </row>
    <row r="2843">
      <c r="B2843" s="2"/>
    </row>
    <row r="2844">
      <c r="B2844" s="2"/>
    </row>
    <row r="2845">
      <c r="B2845" s="2"/>
    </row>
    <row r="2846">
      <c r="B2846" s="2"/>
    </row>
    <row r="2847">
      <c r="B2847" s="2"/>
    </row>
    <row r="2848">
      <c r="B2848" s="2"/>
    </row>
    <row r="2849">
      <c r="B2849" s="2"/>
    </row>
    <row r="2850">
      <c r="B2850" s="2"/>
    </row>
    <row r="2851">
      <c r="B2851" s="2"/>
    </row>
    <row r="2852">
      <c r="B2852" s="2"/>
    </row>
    <row r="2853">
      <c r="B2853" s="2"/>
    </row>
    <row r="2854">
      <c r="B2854" s="2"/>
    </row>
    <row r="2855">
      <c r="B2855" s="2"/>
    </row>
    <row r="2856">
      <c r="B2856" s="2"/>
    </row>
    <row r="2857">
      <c r="B2857" s="2"/>
    </row>
    <row r="2858">
      <c r="B2858" s="2"/>
    </row>
    <row r="2859">
      <c r="B2859" s="2"/>
    </row>
    <row r="2860">
      <c r="B2860" s="2"/>
    </row>
    <row r="2861">
      <c r="B2861" s="2"/>
    </row>
    <row r="2862">
      <c r="B2862" s="2"/>
    </row>
    <row r="2863">
      <c r="B2863" s="2"/>
    </row>
    <row r="2864">
      <c r="B2864" s="2"/>
    </row>
    <row r="2865">
      <c r="B2865" s="2"/>
    </row>
    <row r="2866">
      <c r="B2866" s="2"/>
    </row>
    <row r="2867">
      <c r="B2867" s="2"/>
    </row>
    <row r="2868">
      <c r="B2868" s="2"/>
    </row>
    <row r="2869">
      <c r="B2869" s="2"/>
    </row>
    <row r="2870">
      <c r="B2870" s="2"/>
    </row>
    <row r="2871">
      <c r="B2871" s="2"/>
    </row>
    <row r="2872">
      <c r="B2872" s="2"/>
    </row>
    <row r="2873">
      <c r="B2873" s="2"/>
    </row>
    <row r="2874">
      <c r="B2874" s="2"/>
    </row>
    <row r="2875">
      <c r="B2875" s="2"/>
    </row>
    <row r="2876">
      <c r="B2876" s="2"/>
    </row>
    <row r="2877">
      <c r="B2877" s="2"/>
    </row>
    <row r="2878">
      <c r="B2878" s="2"/>
    </row>
    <row r="2879">
      <c r="B2879" s="2"/>
    </row>
    <row r="2880">
      <c r="B2880" s="2"/>
    </row>
    <row r="2881">
      <c r="B2881" s="2"/>
    </row>
    <row r="2882">
      <c r="B2882" s="2"/>
    </row>
    <row r="2883">
      <c r="B2883" s="2"/>
    </row>
    <row r="2884">
      <c r="B2884" s="2"/>
    </row>
    <row r="2885">
      <c r="B2885" s="2"/>
    </row>
    <row r="2886">
      <c r="B2886" s="2"/>
    </row>
    <row r="2887">
      <c r="B2887" s="2"/>
    </row>
    <row r="2888">
      <c r="B2888" s="2"/>
    </row>
    <row r="2889">
      <c r="B2889" s="2"/>
    </row>
    <row r="2890">
      <c r="B2890" s="2"/>
    </row>
    <row r="2891">
      <c r="B2891" s="2"/>
    </row>
    <row r="2892">
      <c r="B2892" s="2"/>
    </row>
    <row r="2893">
      <c r="B2893" s="2"/>
    </row>
    <row r="2894">
      <c r="B2894" s="2"/>
    </row>
    <row r="2895">
      <c r="B2895" s="2"/>
    </row>
    <row r="2896">
      <c r="B2896" s="2"/>
    </row>
    <row r="2897">
      <c r="B2897" s="2"/>
    </row>
    <row r="2898">
      <c r="B2898" s="2"/>
    </row>
    <row r="2899">
      <c r="B2899" s="2"/>
    </row>
    <row r="2900">
      <c r="B2900" s="2"/>
    </row>
    <row r="2901">
      <c r="B2901" s="2"/>
    </row>
    <row r="2902">
      <c r="B2902" s="2"/>
    </row>
    <row r="2903">
      <c r="B2903" s="2"/>
    </row>
    <row r="2904">
      <c r="B2904" s="2"/>
    </row>
    <row r="2905">
      <c r="B2905" s="2"/>
    </row>
    <row r="2906">
      <c r="B2906" s="2"/>
    </row>
    <row r="2907">
      <c r="B2907" s="2"/>
    </row>
    <row r="2908">
      <c r="B2908" s="2"/>
    </row>
    <row r="2909">
      <c r="B2909" s="2"/>
    </row>
    <row r="2910">
      <c r="B2910" s="2"/>
    </row>
    <row r="2911">
      <c r="B2911" s="2"/>
    </row>
    <row r="2912">
      <c r="B2912" s="2"/>
    </row>
    <row r="2913">
      <c r="B2913" s="2"/>
    </row>
    <row r="2914">
      <c r="B2914" s="2"/>
    </row>
    <row r="2915">
      <c r="B2915" s="2"/>
    </row>
    <row r="2916">
      <c r="B2916" s="2"/>
    </row>
    <row r="2917">
      <c r="B2917" s="2"/>
    </row>
    <row r="2918">
      <c r="B2918" s="2"/>
    </row>
    <row r="2919">
      <c r="B2919" s="2"/>
    </row>
    <row r="2920">
      <c r="B2920" s="2"/>
    </row>
    <row r="2921">
      <c r="B2921" s="2"/>
    </row>
    <row r="2922">
      <c r="B2922" s="2"/>
    </row>
    <row r="2923">
      <c r="B2923" s="2"/>
    </row>
    <row r="2924">
      <c r="B2924" s="2"/>
    </row>
    <row r="2925">
      <c r="B2925" s="2"/>
    </row>
    <row r="2926">
      <c r="B2926" s="2"/>
    </row>
    <row r="2927">
      <c r="B2927" s="2"/>
    </row>
    <row r="2928">
      <c r="B2928" s="2"/>
    </row>
    <row r="2929">
      <c r="B2929" s="2"/>
    </row>
    <row r="2930">
      <c r="B2930" s="2"/>
    </row>
    <row r="2931">
      <c r="B2931" s="2"/>
    </row>
    <row r="2932">
      <c r="B2932" s="2"/>
    </row>
    <row r="2933">
      <c r="B2933" s="2"/>
    </row>
    <row r="2934">
      <c r="B2934" s="2"/>
    </row>
    <row r="2935">
      <c r="B2935" s="2"/>
    </row>
    <row r="2936">
      <c r="B2936" s="2"/>
    </row>
    <row r="2937">
      <c r="B2937" s="2"/>
    </row>
    <row r="2938">
      <c r="B2938" s="2"/>
    </row>
    <row r="2939">
      <c r="B2939" s="2"/>
    </row>
    <row r="2940">
      <c r="B2940" s="2"/>
    </row>
    <row r="2941">
      <c r="B2941" s="2"/>
    </row>
    <row r="2942">
      <c r="B2942" s="2"/>
    </row>
    <row r="2943">
      <c r="B2943" s="2"/>
    </row>
    <row r="2944">
      <c r="B2944" s="2"/>
    </row>
    <row r="2945">
      <c r="B2945" s="2"/>
    </row>
    <row r="2946">
      <c r="B2946" s="2"/>
    </row>
    <row r="2947">
      <c r="B2947" s="2"/>
    </row>
    <row r="2948">
      <c r="B2948" s="2"/>
    </row>
    <row r="2949">
      <c r="B2949" s="2"/>
    </row>
    <row r="2950">
      <c r="B2950" s="2"/>
    </row>
    <row r="2951">
      <c r="B2951" s="2"/>
    </row>
    <row r="2952">
      <c r="B2952" s="2"/>
    </row>
    <row r="2953">
      <c r="B2953" s="2"/>
    </row>
    <row r="2954">
      <c r="B2954" s="2"/>
    </row>
    <row r="2955">
      <c r="B2955" s="2"/>
    </row>
    <row r="2956">
      <c r="B2956" s="2"/>
    </row>
    <row r="2957">
      <c r="B2957" s="2"/>
    </row>
    <row r="2958">
      <c r="B2958" s="2"/>
    </row>
    <row r="2959">
      <c r="B2959" s="2"/>
    </row>
    <row r="2960">
      <c r="B2960" s="2"/>
    </row>
    <row r="2961">
      <c r="B2961" s="2"/>
    </row>
    <row r="2962">
      <c r="B2962" s="2"/>
    </row>
    <row r="2963">
      <c r="B2963" s="2"/>
    </row>
    <row r="2964">
      <c r="B2964" s="2"/>
    </row>
    <row r="2965">
      <c r="B2965" s="2"/>
    </row>
    <row r="2966">
      <c r="B2966" s="2"/>
    </row>
    <row r="2967">
      <c r="B2967" s="2"/>
    </row>
    <row r="2968">
      <c r="B2968" s="2"/>
    </row>
    <row r="2969">
      <c r="B2969" s="2"/>
    </row>
    <row r="2970">
      <c r="B2970" s="2"/>
    </row>
    <row r="2971">
      <c r="B2971" s="2"/>
    </row>
    <row r="2972">
      <c r="B2972" s="2"/>
    </row>
    <row r="2973">
      <c r="B2973" s="2"/>
    </row>
    <row r="2974">
      <c r="B2974" s="2"/>
    </row>
    <row r="2975">
      <c r="B2975" s="2"/>
    </row>
    <row r="2976">
      <c r="B2976" s="2"/>
    </row>
    <row r="2977">
      <c r="B2977" s="2"/>
    </row>
    <row r="2978">
      <c r="B2978" s="2"/>
    </row>
    <row r="2979">
      <c r="B2979" s="2"/>
    </row>
    <row r="2980">
      <c r="B2980" s="2"/>
    </row>
    <row r="2981">
      <c r="B2981" s="2"/>
    </row>
    <row r="2982">
      <c r="B2982" s="2"/>
    </row>
    <row r="2983">
      <c r="B2983" s="2"/>
    </row>
    <row r="2984">
      <c r="B2984" s="2"/>
    </row>
    <row r="2985">
      <c r="B2985" s="2"/>
    </row>
    <row r="2986">
      <c r="B2986" s="2"/>
    </row>
    <row r="2987">
      <c r="B2987" s="2"/>
    </row>
    <row r="2988">
      <c r="B2988" s="2"/>
    </row>
    <row r="2989">
      <c r="B2989" s="2"/>
    </row>
    <row r="2990">
      <c r="B2990" s="2"/>
    </row>
    <row r="2991">
      <c r="B2991" s="2"/>
    </row>
    <row r="2992">
      <c r="B2992" s="2"/>
    </row>
    <row r="2993">
      <c r="B2993" s="2"/>
    </row>
    <row r="2994">
      <c r="B2994" s="2"/>
    </row>
    <row r="2995">
      <c r="B2995" s="2"/>
    </row>
    <row r="2996">
      <c r="B2996" s="2"/>
    </row>
    <row r="2997">
      <c r="B2997" s="2"/>
    </row>
    <row r="2998">
      <c r="B2998" s="2"/>
    </row>
    <row r="2999">
      <c r="B2999" s="2"/>
    </row>
    <row r="3000">
      <c r="B3000" s="2"/>
    </row>
    <row r="3001">
      <c r="B3001" s="2"/>
    </row>
    <row r="3002">
      <c r="B3002" s="2"/>
    </row>
    <row r="3003">
      <c r="B3003" s="2"/>
    </row>
    <row r="3004">
      <c r="B3004" s="2"/>
    </row>
    <row r="3005">
      <c r="B3005" s="2"/>
    </row>
    <row r="3006">
      <c r="B3006" s="2"/>
    </row>
    <row r="3007">
      <c r="B3007" s="2"/>
    </row>
    <row r="3008">
      <c r="B3008" s="2"/>
    </row>
    <row r="3009">
      <c r="B3009" s="2"/>
    </row>
    <row r="3010">
      <c r="B3010" s="2"/>
    </row>
    <row r="3011">
      <c r="B3011" s="2"/>
    </row>
    <row r="3012">
      <c r="B3012" s="2"/>
    </row>
    <row r="3013">
      <c r="B3013" s="2"/>
    </row>
    <row r="3014">
      <c r="B3014" s="2"/>
    </row>
    <row r="3015">
      <c r="B3015" s="2"/>
    </row>
    <row r="3016">
      <c r="B3016" s="2"/>
    </row>
    <row r="3017">
      <c r="B3017" s="2"/>
    </row>
    <row r="3018">
      <c r="B3018" s="2"/>
    </row>
    <row r="3019">
      <c r="B3019" s="2"/>
    </row>
    <row r="3020">
      <c r="B3020" s="2"/>
    </row>
    <row r="3021">
      <c r="B3021" s="2"/>
    </row>
    <row r="3022">
      <c r="B3022" s="2"/>
    </row>
    <row r="3023">
      <c r="B3023" s="2"/>
    </row>
    <row r="3024">
      <c r="B3024" s="2"/>
    </row>
    <row r="3025">
      <c r="B3025" s="2"/>
    </row>
    <row r="3026">
      <c r="B3026" s="2"/>
    </row>
    <row r="3027">
      <c r="B3027" s="2"/>
    </row>
    <row r="3028">
      <c r="B3028" s="2"/>
    </row>
    <row r="3029">
      <c r="B3029" s="2"/>
    </row>
    <row r="3030">
      <c r="B3030" s="2"/>
    </row>
    <row r="3031">
      <c r="B3031" s="2"/>
    </row>
    <row r="3032">
      <c r="B3032" s="2"/>
    </row>
    <row r="3033">
      <c r="B3033" s="2"/>
    </row>
    <row r="3034">
      <c r="B3034" s="2"/>
    </row>
    <row r="3035">
      <c r="B3035" s="2"/>
    </row>
    <row r="3036">
      <c r="B3036" s="2"/>
    </row>
    <row r="3037">
      <c r="B3037" s="2"/>
    </row>
    <row r="3038">
      <c r="B3038" s="2"/>
    </row>
    <row r="3039">
      <c r="B3039" s="2"/>
    </row>
    <row r="3040">
      <c r="B3040" s="2"/>
    </row>
    <row r="3041">
      <c r="B3041" s="2"/>
    </row>
    <row r="3042">
      <c r="B3042" s="2"/>
    </row>
    <row r="3043">
      <c r="B3043" s="2"/>
    </row>
    <row r="3044">
      <c r="B3044" s="2"/>
    </row>
    <row r="3045">
      <c r="B3045" s="2"/>
    </row>
    <row r="3046">
      <c r="B3046" s="2"/>
    </row>
    <row r="3047">
      <c r="B3047" s="2"/>
    </row>
    <row r="3048">
      <c r="B3048" s="2"/>
    </row>
    <row r="3049">
      <c r="B3049" s="2"/>
    </row>
    <row r="3050">
      <c r="B3050" s="2"/>
    </row>
    <row r="3051">
      <c r="B3051" s="2"/>
    </row>
    <row r="3052">
      <c r="B3052" s="2"/>
    </row>
    <row r="3053">
      <c r="B3053" s="2"/>
    </row>
    <row r="3054">
      <c r="B3054" s="2"/>
    </row>
    <row r="3055">
      <c r="B3055" s="2"/>
    </row>
    <row r="3056">
      <c r="B3056" s="2"/>
    </row>
    <row r="3057">
      <c r="B3057" s="2"/>
    </row>
    <row r="3058">
      <c r="B3058" s="2"/>
    </row>
    <row r="3059">
      <c r="B3059" s="2"/>
    </row>
    <row r="3060">
      <c r="B3060" s="2"/>
    </row>
    <row r="3061">
      <c r="B3061" s="2"/>
    </row>
    <row r="3062">
      <c r="B3062" s="2"/>
    </row>
    <row r="3063">
      <c r="B3063" s="2"/>
    </row>
    <row r="3064">
      <c r="B3064" s="2"/>
    </row>
    <row r="3065">
      <c r="B3065" s="2"/>
    </row>
    <row r="3066">
      <c r="B3066" s="2"/>
    </row>
    <row r="3067">
      <c r="B3067" s="2"/>
    </row>
    <row r="3068">
      <c r="B3068" s="2"/>
    </row>
    <row r="3069">
      <c r="B3069" s="2"/>
    </row>
    <row r="3070">
      <c r="B3070" s="2"/>
    </row>
    <row r="3071">
      <c r="B3071" s="2"/>
    </row>
    <row r="3072">
      <c r="B3072" s="2"/>
    </row>
    <row r="3073">
      <c r="B3073" s="2"/>
    </row>
    <row r="3074">
      <c r="B3074" s="2"/>
    </row>
    <row r="3075">
      <c r="B3075" s="2"/>
    </row>
    <row r="3076">
      <c r="B3076" s="2"/>
    </row>
    <row r="3077">
      <c r="B3077" s="2"/>
    </row>
    <row r="3078">
      <c r="B3078" s="2"/>
    </row>
    <row r="3079">
      <c r="B3079" s="2"/>
    </row>
    <row r="3080">
      <c r="B3080" s="2"/>
    </row>
    <row r="3081">
      <c r="B3081" s="2"/>
    </row>
    <row r="3082">
      <c r="B3082" s="2"/>
    </row>
    <row r="3083">
      <c r="B3083" s="2"/>
    </row>
    <row r="3084">
      <c r="B3084" s="2"/>
    </row>
    <row r="3085">
      <c r="B3085" s="2"/>
    </row>
    <row r="3086">
      <c r="B3086" s="2"/>
    </row>
    <row r="3087">
      <c r="B3087" s="2"/>
    </row>
    <row r="3088">
      <c r="B3088" s="2"/>
    </row>
    <row r="3089">
      <c r="B3089" s="2"/>
    </row>
    <row r="3090">
      <c r="B3090" s="2"/>
    </row>
    <row r="3091">
      <c r="B3091" s="2"/>
    </row>
    <row r="3092">
      <c r="B3092" s="2"/>
    </row>
    <row r="3093">
      <c r="B3093" s="2"/>
    </row>
    <row r="3094">
      <c r="B3094" s="2"/>
    </row>
    <row r="3095">
      <c r="B3095" s="2"/>
    </row>
    <row r="3096">
      <c r="B3096" s="2"/>
    </row>
    <row r="3097">
      <c r="B3097" s="2"/>
    </row>
    <row r="3098">
      <c r="B3098" s="2"/>
    </row>
    <row r="3099">
      <c r="B3099" s="2"/>
    </row>
    <row r="3100">
      <c r="B3100" s="2"/>
    </row>
    <row r="3101">
      <c r="B3101" s="2"/>
    </row>
    <row r="3102">
      <c r="B3102" s="2"/>
    </row>
    <row r="3103">
      <c r="B3103" s="2"/>
    </row>
    <row r="3104">
      <c r="B3104" s="2"/>
    </row>
    <row r="3105">
      <c r="B3105" s="2"/>
    </row>
    <row r="3106">
      <c r="B3106" s="2"/>
    </row>
    <row r="3107">
      <c r="B3107" s="2"/>
    </row>
    <row r="3108">
      <c r="B3108" s="2"/>
    </row>
    <row r="3109">
      <c r="B3109" s="2"/>
    </row>
    <row r="3110">
      <c r="B3110" s="2"/>
    </row>
    <row r="3111">
      <c r="B3111" s="2"/>
    </row>
    <row r="3112">
      <c r="B3112" s="2"/>
    </row>
    <row r="3113">
      <c r="B3113" s="2"/>
    </row>
    <row r="3114">
      <c r="B3114" s="2"/>
    </row>
    <row r="3115">
      <c r="B3115" s="2"/>
    </row>
    <row r="3116">
      <c r="B3116" s="2"/>
    </row>
    <row r="3117">
      <c r="B3117" s="2"/>
    </row>
    <row r="3118">
      <c r="B3118" s="2"/>
    </row>
    <row r="3119">
      <c r="B3119" s="2"/>
    </row>
    <row r="3120">
      <c r="B3120" s="2"/>
    </row>
    <row r="3121">
      <c r="B3121" s="2"/>
    </row>
    <row r="3122">
      <c r="B3122" s="2"/>
    </row>
    <row r="3123">
      <c r="B3123" s="2"/>
    </row>
    <row r="3124">
      <c r="B3124" s="2"/>
    </row>
    <row r="3125">
      <c r="B3125" s="2"/>
    </row>
    <row r="3126">
      <c r="B3126" s="2"/>
    </row>
    <row r="3127">
      <c r="B3127" s="2"/>
    </row>
    <row r="3128">
      <c r="B3128" s="2"/>
    </row>
    <row r="3129">
      <c r="B3129" s="2"/>
    </row>
    <row r="3130">
      <c r="B3130" s="2"/>
    </row>
    <row r="3131">
      <c r="B3131" s="2"/>
    </row>
    <row r="3132">
      <c r="B3132" s="2"/>
    </row>
    <row r="3133">
      <c r="B3133" s="2"/>
    </row>
    <row r="3134">
      <c r="B3134" s="2"/>
    </row>
    <row r="3135">
      <c r="B3135" s="2"/>
    </row>
    <row r="3136">
      <c r="B3136" s="2"/>
    </row>
    <row r="3137">
      <c r="B3137" s="2"/>
    </row>
    <row r="3138">
      <c r="B3138" s="2"/>
    </row>
    <row r="3139">
      <c r="B3139" s="2"/>
    </row>
    <row r="3140">
      <c r="B3140" s="2"/>
    </row>
    <row r="3141">
      <c r="B3141" s="2"/>
    </row>
    <row r="3142">
      <c r="B3142" s="2"/>
    </row>
    <row r="3143">
      <c r="B3143" s="2"/>
    </row>
    <row r="3144">
      <c r="B3144" s="2"/>
    </row>
    <row r="3145">
      <c r="B3145" s="2"/>
    </row>
    <row r="3146">
      <c r="B3146" s="2"/>
    </row>
    <row r="3147">
      <c r="B3147" s="2"/>
    </row>
    <row r="3148">
      <c r="B3148" s="2"/>
    </row>
    <row r="3149">
      <c r="B3149" s="2"/>
    </row>
    <row r="3150">
      <c r="B3150" s="2"/>
    </row>
    <row r="3151">
      <c r="B3151" s="2"/>
    </row>
    <row r="3152">
      <c r="B3152" s="2"/>
    </row>
    <row r="3153">
      <c r="B3153" s="2"/>
    </row>
    <row r="3154">
      <c r="B3154" s="2"/>
    </row>
    <row r="3155">
      <c r="B3155" s="2"/>
    </row>
    <row r="3156">
      <c r="B3156" s="2"/>
    </row>
    <row r="3157">
      <c r="B3157" s="2"/>
    </row>
    <row r="3158">
      <c r="B3158" s="2"/>
    </row>
    <row r="3159">
      <c r="B3159" s="2"/>
    </row>
    <row r="3160">
      <c r="B3160" s="2"/>
    </row>
    <row r="3161">
      <c r="B3161" s="2"/>
    </row>
    <row r="3162">
      <c r="B3162" s="2"/>
    </row>
    <row r="3163">
      <c r="B3163" s="2"/>
    </row>
    <row r="3164">
      <c r="B3164" s="2"/>
    </row>
    <row r="3165">
      <c r="B3165" s="2"/>
    </row>
    <row r="3166">
      <c r="B3166" s="2"/>
    </row>
    <row r="3167">
      <c r="B3167" s="2"/>
    </row>
    <row r="3168">
      <c r="B3168" s="2"/>
    </row>
    <row r="3169">
      <c r="B3169" s="2"/>
    </row>
    <row r="3170">
      <c r="B3170" s="2"/>
    </row>
    <row r="3171">
      <c r="B3171" s="2"/>
    </row>
    <row r="3172">
      <c r="B3172" s="2"/>
    </row>
    <row r="3173">
      <c r="B3173" s="2"/>
    </row>
    <row r="3174">
      <c r="B3174" s="2"/>
    </row>
    <row r="3175">
      <c r="B3175" s="2"/>
    </row>
    <row r="3176">
      <c r="B3176" s="2"/>
    </row>
    <row r="3177">
      <c r="B3177" s="2"/>
    </row>
    <row r="3178">
      <c r="B3178" s="2"/>
    </row>
    <row r="3179">
      <c r="B3179" s="2"/>
    </row>
    <row r="3180">
      <c r="B3180" s="2"/>
    </row>
    <row r="3181">
      <c r="B3181" s="2"/>
    </row>
    <row r="3182">
      <c r="B3182" s="2"/>
    </row>
    <row r="3183">
      <c r="B3183" s="2"/>
    </row>
    <row r="3184">
      <c r="B3184" s="2"/>
    </row>
    <row r="3185">
      <c r="B3185" s="2"/>
    </row>
    <row r="3186">
      <c r="B3186" s="2"/>
    </row>
    <row r="3187">
      <c r="B3187" s="2"/>
    </row>
    <row r="3188">
      <c r="B3188" s="2"/>
    </row>
    <row r="3189">
      <c r="B3189" s="2"/>
    </row>
    <row r="3190">
      <c r="B3190" s="2"/>
    </row>
    <row r="3191">
      <c r="B3191" s="2"/>
    </row>
    <row r="3192">
      <c r="B3192" s="2"/>
    </row>
    <row r="3193">
      <c r="B3193" s="2"/>
    </row>
    <row r="3194">
      <c r="B3194" s="2"/>
    </row>
    <row r="3195">
      <c r="B3195" s="2"/>
    </row>
    <row r="3196">
      <c r="B3196" s="2"/>
    </row>
    <row r="3197">
      <c r="B3197" s="2"/>
    </row>
    <row r="3198">
      <c r="B3198" s="2"/>
    </row>
    <row r="3199">
      <c r="B3199" s="2"/>
    </row>
    <row r="3200">
      <c r="B3200" s="2"/>
    </row>
    <row r="3201">
      <c r="B3201" s="2"/>
    </row>
    <row r="3202">
      <c r="B3202" s="2"/>
    </row>
    <row r="3203">
      <c r="B3203" s="2"/>
    </row>
    <row r="3204">
      <c r="B3204" s="2"/>
    </row>
    <row r="3205">
      <c r="B3205" s="2"/>
    </row>
    <row r="3206">
      <c r="B3206" s="2"/>
    </row>
    <row r="3207">
      <c r="B3207" s="2"/>
    </row>
    <row r="3208">
      <c r="B3208" s="2"/>
    </row>
    <row r="3209">
      <c r="B3209" s="2"/>
    </row>
    <row r="3210">
      <c r="B3210" s="2"/>
    </row>
    <row r="3211">
      <c r="B3211" s="2"/>
    </row>
    <row r="3212">
      <c r="B3212" s="2"/>
    </row>
    <row r="3213">
      <c r="B3213" s="2"/>
    </row>
    <row r="3214">
      <c r="B3214" s="2"/>
    </row>
    <row r="3215">
      <c r="B3215" s="2"/>
    </row>
    <row r="3216">
      <c r="B3216" s="2"/>
    </row>
    <row r="3217">
      <c r="B3217" s="2"/>
    </row>
    <row r="3218">
      <c r="B3218" s="2"/>
    </row>
    <row r="3219">
      <c r="B3219" s="2"/>
    </row>
    <row r="3220">
      <c r="B3220" s="2"/>
    </row>
    <row r="3221">
      <c r="B3221" s="2"/>
    </row>
    <row r="3222">
      <c r="B3222" s="2"/>
    </row>
    <row r="3223">
      <c r="B3223" s="2"/>
    </row>
    <row r="3224">
      <c r="B3224" s="2"/>
    </row>
    <row r="3225">
      <c r="B3225" s="2"/>
    </row>
    <row r="3226">
      <c r="B3226" s="2"/>
    </row>
    <row r="3227">
      <c r="B3227" s="2"/>
    </row>
    <row r="3228">
      <c r="B3228" s="2"/>
    </row>
    <row r="3229">
      <c r="B3229" s="2"/>
    </row>
    <row r="3230">
      <c r="B3230" s="2"/>
    </row>
    <row r="3231">
      <c r="B3231" s="2"/>
    </row>
    <row r="3232">
      <c r="B3232" s="2"/>
    </row>
    <row r="3233">
      <c r="B3233" s="2"/>
    </row>
    <row r="3234">
      <c r="B3234" s="2"/>
    </row>
    <row r="3235">
      <c r="B3235" s="2"/>
    </row>
    <row r="3236">
      <c r="B3236" s="2"/>
    </row>
    <row r="3237">
      <c r="B3237" s="2"/>
    </row>
    <row r="3238">
      <c r="B3238" s="2"/>
    </row>
    <row r="3239">
      <c r="B3239" s="2"/>
    </row>
    <row r="3240">
      <c r="B3240" s="2"/>
    </row>
    <row r="3241">
      <c r="B3241" s="2"/>
    </row>
    <row r="3242">
      <c r="B3242" s="2"/>
    </row>
    <row r="3243">
      <c r="B3243" s="2"/>
    </row>
    <row r="3244">
      <c r="B3244" s="2"/>
    </row>
    <row r="3245">
      <c r="B3245" s="2"/>
    </row>
    <row r="3246">
      <c r="B3246" s="2"/>
    </row>
    <row r="3247">
      <c r="B3247" s="2"/>
    </row>
    <row r="3248">
      <c r="B3248" s="2"/>
    </row>
    <row r="3249">
      <c r="B3249" s="2"/>
    </row>
    <row r="3250">
      <c r="B3250" s="2"/>
    </row>
    <row r="3251">
      <c r="B3251" s="2"/>
    </row>
    <row r="3252">
      <c r="B3252" s="2"/>
    </row>
    <row r="3253">
      <c r="B3253" s="2"/>
    </row>
    <row r="3254">
      <c r="B3254" s="2"/>
    </row>
    <row r="3255">
      <c r="B3255" s="2"/>
    </row>
    <row r="3256">
      <c r="B3256" s="2"/>
    </row>
    <row r="3257">
      <c r="B3257" s="2"/>
    </row>
    <row r="3258">
      <c r="B3258" s="2"/>
    </row>
    <row r="3259">
      <c r="B3259" s="2"/>
    </row>
    <row r="3260">
      <c r="B3260" s="2"/>
    </row>
    <row r="3261">
      <c r="B3261" s="2"/>
    </row>
    <row r="3262">
      <c r="B3262" s="2"/>
    </row>
    <row r="3263">
      <c r="B3263" s="2"/>
    </row>
    <row r="3264">
      <c r="B3264" s="2"/>
    </row>
    <row r="3265">
      <c r="B3265" s="2"/>
    </row>
    <row r="3266">
      <c r="B3266" s="2"/>
    </row>
    <row r="3267">
      <c r="B3267" s="2"/>
    </row>
    <row r="3268">
      <c r="B3268" s="2"/>
    </row>
    <row r="3269">
      <c r="B3269" s="2"/>
    </row>
    <row r="3270">
      <c r="B3270" s="2"/>
    </row>
    <row r="3271">
      <c r="B3271" s="2"/>
    </row>
    <row r="3272">
      <c r="B3272" s="2"/>
    </row>
    <row r="3273">
      <c r="B3273" s="2"/>
    </row>
    <row r="3274">
      <c r="B3274" s="2"/>
    </row>
    <row r="3275">
      <c r="B3275" s="2"/>
    </row>
    <row r="3276">
      <c r="B3276" s="2"/>
    </row>
    <row r="3277">
      <c r="B3277" s="2"/>
    </row>
    <row r="3278">
      <c r="B3278" s="2"/>
    </row>
    <row r="3279">
      <c r="B3279" s="2"/>
    </row>
    <row r="3280">
      <c r="B3280" s="2"/>
    </row>
    <row r="3281">
      <c r="B3281" s="2"/>
    </row>
    <row r="3282">
      <c r="B3282" s="2"/>
    </row>
    <row r="3283">
      <c r="B3283" s="2"/>
    </row>
    <row r="3284">
      <c r="B3284" s="2"/>
    </row>
    <row r="3285">
      <c r="B3285" s="2"/>
    </row>
    <row r="3286">
      <c r="B3286" s="2"/>
    </row>
    <row r="3287">
      <c r="B3287" s="2"/>
    </row>
    <row r="3288">
      <c r="B3288" s="2"/>
    </row>
    <row r="3289">
      <c r="B3289" s="2"/>
    </row>
    <row r="3290">
      <c r="B3290" s="2"/>
    </row>
    <row r="3291">
      <c r="B3291" s="2"/>
    </row>
    <row r="3292">
      <c r="B3292" s="2"/>
    </row>
    <row r="3293">
      <c r="B3293" s="2"/>
    </row>
    <row r="3294">
      <c r="B3294" s="2"/>
    </row>
    <row r="3295">
      <c r="B3295" s="2"/>
    </row>
    <row r="3296">
      <c r="B3296" s="2"/>
    </row>
    <row r="3297">
      <c r="B3297" s="2"/>
    </row>
    <row r="3298">
      <c r="B3298" s="2"/>
    </row>
    <row r="3299">
      <c r="B3299" s="2"/>
    </row>
    <row r="3300">
      <c r="B3300" s="2"/>
    </row>
    <row r="3301">
      <c r="B3301" s="2"/>
    </row>
    <row r="3302">
      <c r="B3302" s="2"/>
    </row>
    <row r="3303">
      <c r="B3303" s="2"/>
    </row>
    <row r="3304">
      <c r="B3304" s="2"/>
    </row>
    <row r="3305">
      <c r="B3305" s="2"/>
    </row>
    <row r="3306">
      <c r="B3306" s="2"/>
    </row>
    <row r="3307">
      <c r="B3307" s="2"/>
    </row>
    <row r="3308">
      <c r="B3308" s="2"/>
    </row>
    <row r="3309">
      <c r="B3309" s="2"/>
    </row>
    <row r="3310">
      <c r="B3310" s="2"/>
    </row>
    <row r="3311">
      <c r="B3311" s="2"/>
    </row>
    <row r="3312">
      <c r="B3312" s="2"/>
    </row>
    <row r="3313">
      <c r="B3313" s="2"/>
    </row>
    <row r="3314">
      <c r="B3314" s="2"/>
    </row>
    <row r="3315">
      <c r="B3315" s="2"/>
    </row>
    <row r="3316">
      <c r="B3316" s="2"/>
    </row>
    <row r="3317">
      <c r="B3317" s="2"/>
    </row>
    <row r="3318">
      <c r="B3318" s="2"/>
    </row>
    <row r="3319">
      <c r="B3319" s="2"/>
    </row>
    <row r="3320">
      <c r="B3320" s="2"/>
    </row>
    <row r="3321">
      <c r="B3321" s="2"/>
    </row>
    <row r="3322">
      <c r="B3322" s="2"/>
    </row>
    <row r="3323">
      <c r="B3323" s="2"/>
    </row>
    <row r="3324">
      <c r="B3324" s="2"/>
    </row>
    <row r="3325">
      <c r="B3325" s="2"/>
    </row>
    <row r="3326">
      <c r="B3326" s="2"/>
    </row>
    <row r="3327">
      <c r="B3327" s="2"/>
    </row>
    <row r="3328">
      <c r="B3328" s="2"/>
    </row>
    <row r="3329">
      <c r="B3329" s="2"/>
    </row>
    <row r="3330">
      <c r="B3330" s="2"/>
    </row>
    <row r="3331">
      <c r="B3331" s="2"/>
    </row>
    <row r="3332">
      <c r="B3332" s="2"/>
    </row>
    <row r="3333">
      <c r="B3333" s="2"/>
    </row>
    <row r="3334">
      <c r="B3334" s="2"/>
    </row>
    <row r="3335">
      <c r="B3335" s="2"/>
    </row>
    <row r="3336">
      <c r="B3336" s="2"/>
    </row>
    <row r="3337">
      <c r="B3337" s="2"/>
    </row>
    <row r="3338">
      <c r="B3338" s="2"/>
    </row>
    <row r="3339">
      <c r="B3339" s="2"/>
    </row>
    <row r="3340">
      <c r="B3340" s="2"/>
    </row>
    <row r="3341">
      <c r="B3341" s="2"/>
    </row>
    <row r="3342">
      <c r="B3342" s="2"/>
    </row>
    <row r="3343">
      <c r="B3343" s="2"/>
    </row>
    <row r="3344">
      <c r="B3344" s="2"/>
    </row>
    <row r="3345">
      <c r="B3345" s="2"/>
    </row>
    <row r="3346">
      <c r="B3346" s="2"/>
    </row>
    <row r="3347">
      <c r="B3347" s="2"/>
    </row>
    <row r="3348">
      <c r="B3348" s="2"/>
    </row>
    <row r="3349">
      <c r="B3349" s="2"/>
    </row>
    <row r="3350">
      <c r="B3350" s="2"/>
    </row>
    <row r="3351">
      <c r="B3351" s="2"/>
    </row>
    <row r="3352">
      <c r="B3352" s="2"/>
    </row>
    <row r="3353">
      <c r="B3353" s="2"/>
    </row>
    <row r="3354">
      <c r="B3354" s="2"/>
    </row>
    <row r="3355">
      <c r="B3355" s="2"/>
    </row>
    <row r="3356">
      <c r="B3356" s="2"/>
    </row>
    <row r="3357">
      <c r="B3357" s="2"/>
    </row>
    <row r="3358">
      <c r="B3358" s="2"/>
    </row>
    <row r="3359">
      <c r="B3359" s="2"/>
    </row>
    <row r="3360">
      <c r="B3360" s="2"/>
    </row>
    <row r="3361">
      <c r="B3361" s="2"/>
    </row>
    <row r="3362">
      <c r="B3362" s="2"/>
    </row>
    <row r="3363">
      <c r="B3363" s="2"/>
    </row>
    <row r="3364">
      <c r="B3364" s="2"/>
    </row>
    <row r="3365">
      <c r="B3365" s="2"/>
    </row>
    <row r="3366">
      <c r="B3366" s="2"/>
    </row>
    <row r="3367">
      <c r="B3367" s="2"/>
    </row>
    <row r="3368">
      <c r="B3368" s="2"/>
    </row>
    <row r="3369">
      <c r="B3369" s="2"/>
    </row>
    <row r="3370">
      <c r="B3370" s="2"/>
    </row>
    <row r="3371">
      <c r="B3371" s="2"/>
    </row>
    <row r="3372">
      <c r="B3372" s="2"/>
    </row>
    <row r="3373">
      <c r="B3373" s="2"/>
    </row>
    <row r="3374">
      <c r="B3374" s="2"/>
    </row>
    <row r="3375">
      <c r="B3375" s="2"/>
    </row>
    <row r="3376">
      <c r="B3376" s="2"/>
    </row>
    <row r="3377">
      <c r="B3377" s="2"/>
    </row>
    <row r="3378">
      <c r="B3378" s="2"/>
    </row>
    <row r="3379">
      <c r="B3379" s="2"/>
    </row>
    <row r="3380">
      <c r="B3380" s="2"/>
    </row>
    <row r="3381">
      <c r="B3381" s="2"/>
    </row>
    <row r="3382">
      <c r="B3382" s="2"/>
    </row>
    <row r="3383">
      <c r="B3383" s="2"/>
    </row>
    <row r="3384">
      <c r="B3384" s="2"/>
    </row>
    <row r="3385">
      <c r="B3385" s="2"/>
    </row>
    <row r="3386">
      <c r="B3386" s="2"/>
    </row>
    <row r="3387">
      <c r="B3387" s="2"/>
    </row>
    <row r="3388">
      <c r="B3388" s="2"/>
    </row>
    <row r="3389">
      <c r="B3389" s="2"/>
    </row>
    <row r="3390">
      <c r="B3390" s="2"/>
    </row>
    <row r="3391">
      <c r="B3391" s="2"/>
    </row>
    <row r="3392">
      <c r="B3392" s="2"/>
    </row>
    <row r="3393">
      <c r="B3393" s="2"/>
    </row>
    <row r="3394">
      <c r="B3394" s="2"/>
    </row>
    <row r="3395">
      <c r="B3395" s="2"/>
    </row>
    <row r="3396">
      <c r="B3396" s="2"/>
    </row>
    <row r="3397">
      <c r="B3397" s="2"/>
    </row>
    <row r="3398">
      <c r="B3398" s="2"/>
    </row>
    <row r="3399">
      <c r="B3399" s="2"/>
    </row>
    <row r="3400">
      <c r="B3400" s="2"/>
    </row>
    <row r="3401">
      <c r="B3401" s="2"/>
    </row>
    <row r="3402">
      <c r="B3402" s="2"/>
    </row>
    <row r="3403">
      <c r="B3403" s="2"/>
    </row>
    <row r="3404">
      <c r="B3404" s="2"/>
    </row>
    <row r="3405">
      <c r="B3405" s="2"/>
    </row>
    <row r="3406">
      <c r="B3406" s="2"/>
    </row>
    <row r="3407">
      <c r="B3407" s="2"/>
    </row>
    <row r="3408">
      <c r="B3408" s="2"/>
    </row>
    <row r="3409">
      <c r="B3409" s="2"/>
    </row>
    <row r="3410">
      <c r="B3410" s="2"/>
    </row>
    <row r="3411">
      <c r="B3411" s="2"/>
    </row>
    <row r="3412">
      <c r="B3412" s="2"/>
    </row>
    <row r="3413">
      <c r="B3413" s="2"/>
    </row>
    <row r="3414">
      <c r="B3414" s="2"/>
    </row>
    <row r="3415">
      <c r="B3415" s="2"/>
    </row>
    <row r="3416">
      <c r="B3416" s="2"/>
    </row>
    <row r="3417">
      <c r="B3417" s="2"/>
    </row>
    <row r="3418">
      <c r="B3418" s="2"/>
    </row>
    <row r="3419">
      <c r="B3419" s="2"/>
    </row>
    <row r="3420">
      <c r="B3420" s="2"/>
    </row>
    <row r="3421">
      <c r="B3421" s="2"/>
    </row>
    <row r="3422">
      <c r="B3422" s="2"/>
    </row>
    <row r="3423">
      <c r="B3423" s="2"/>
    </row>
    <row r="3424">
      <c r="B3424" s="2"/>
    </row>
    <row r="3425">
      <c r="B3425" s="2"/>
    </row>
    <row r="3426">
      <c r="B3426" s="2"/>
    </row>
    <row r="3427">
      <c r="B3427" s="2"/>
    </row>
    <row r="3428">
      <c r="B3428" s="2"/>
    </row>
    <row r="3429">
      <c r="B3429" s="2"/>
    </row>
    <row r="3430">
      <c r="B3430" s="2"/>
    </row>
    <row r="3431">
      <c r="B3431" s="2"/>
    </row>
    <row r="3432">
      <c r="B3432" s="2"/>
    </row>
    <row r="3433">
      <c r="B3433" s="2"/>
    </row>
    <row r="3434">
      <c r="B3434" s="2"/>
    </row>
    <row r="3435">
      <c r="B3435" s="2"/>
    </row>
    <row r="3436">
      <c r="B3436" s="2"/>
    </row>
    <row r="3437">
      <c r="B3437" s="2"/>
    </row>
    <row r="3438">
      <c r="B3438" s="2"/>
    </row>
    <row r="3439">
      <c r="B3439" s="2"/>
    </row>
    <row r="3440">
      <c r="B3440" s="2"/>
    </row>
    <row r="3441">
      <c r="B3441" s="2"/>
    </row>
    <row r="3442">
      <c r="B3442" s="2"/>
    </row>
    <row r="3443">
      <c r="B3443" s="2"/>
    </row>
    <row r="3444">
      <c r="B3444" s="2"/>
    </row>
    <row r="3445">
      <c r="B3445" s="2"/>
    </row>
    <row r="3446">
      <c r="B3446" s="2"/>
    </row>
    <row r="3447">
      <c r="B3447" s="2"/>
    </row>
    <row r="3448">
      <c r="B3448" s="2"/>
    </row>
    <row r="3449">
      <c r="B3449" s="2"/>
    </row>
    <row r="3450">
      <c r="B3450" s="2"/>
    </row>
    <row r="3451">
      <c r="B3451" s="2"/>
    </row>
    <row r="3452">
      <c r="B3452" s="2"/>
    </row>
    <row r="3453">
      <c r="B3453" s="2"/>
    </row>
    <row r="3454">
      <c r="B3454" s="2"/>
    </row>
    <row r="3455">
      <c r="B3455" s="2"/>
    </row>
    <row r="3456">
      <c r="B3456" s="2"/>
    </row>
    <row r="3457">
      <c r="B3457" s="2"/>
    </row>
    <row r="3458">
      <c r="B3458" s="2"/>
    </row>
    <row r="3459">
      <c r="B3459" s="2"/>
    </row>
    <row r="3460">
      <c r="B3460" s="2"/>
    </row>
    <row r="3461">
      <c r="B3461" s="2"/>
    </row>
    <row r="3462">
      <c r="B3462" s="2"/>
    </row>
    <row r="3463">
      <c r="B3463" s="2"/>
    </row>
    <row r="3464">
      <c r="B3464" s="2"/>
    </row>
    <row r="3465">
      <c r="B3465" s="2"/>
    </row>
    <row r="3466">
      <c r="B3466" s="2"/>
    </row>
    <row r="3467">
      <c r="B3467" s="2"/>
    </row>
    <row r="3468">
      <c r="B3468" s="2"/>
    </row>
    <row r="3469">
      <c r="B3469" s="2"/>
    </row>
    <row r="3470">
      <c r="B3470" s="2"/>
    </row>
    <row r="3471">
      <c r="B3471" s="2"/>
    </row>
    <row r="3472">
      <c r="B3472" s="2"/>
    </row>
    <row r="3473">
      <c r="B3473" s="2"/>
    </row>
    <row r="3474">
      <c r="B3474" s="2"/>
    </row>
    <row r="3475">
      <c r="B3475" s="2"/>
    </row>
    <row r="3476">
      <c r="B3476" s="2"/>
    </row>
    <row r="3477">
      <c r="B3477" s="2"/>
    </row>
    <row r="3478">
      <c r="B3478" s="2"/>
    </row>
    <row r="3479">
      <c r="B3479" s="2"/>
    </row>
    <row r="3480">
      <c r="B3480" s="2"/>
    </row>
    <row r="3481">
      <c r="B3481" s="2"/>
    </row>
    <row r="3482">
      <c r="B3482" s="2"/>
    </row>
    <row r="3483">
      <c r="B3483" s="2"/>
    </row>
    <row r="3484">
      <c r="B3484" s="2"/>
    </row>
    <row r="3485">
      <c r="B3485" s="2"/>
    </row>
    <row r="3486">
      <c r="B3486" s="2"/>
    </row>
    <row r="3487">
      <c r="B3487" s="2"/>
    </row>
    <row r="3488">
      <c r="B3488" s="2"/>
    </row>
    <row r="3489">
      <c r="B3489" s="2"/>
    </row>
    <row r="3490">
      <c r="B3490" s="2"/>
    </row>
    <row r="3491">
      <c r="B3491" s="2"/>
    </row>
    <row r="3492">
      <c r="B3492" s="2"/>
    </row>
    <row r="3493">
      <c r="B3493" s="2"/>
    </row>
    <row r="3494">
      <c r="B3494" s="2"/>
    </row>
    <row r="3495">
      <c r="B3495" s="2"/>
    </row>
    <row r="3496">
      <c r="B3496" s="2"/>
    </row>
    <row r="3497">
      <c r="B3497" s="2"/>
    </row>
    <row r="3498">
      <c r="B3498" s="2"/>
    </row>
    <row r="3499">
      <c r="B3499" s="2"/>
    </row>
    <row r="3500">
      <c r="B3500" s="2"/>
    </row>
    <row r="3501">
      <c r="B3501" s="2"/>
    </row>
    <row r="3502">
      <c r="B3502" s="2"/>
    </row>
    <row r="3503">
      <c r="B3503" s="2"/>
    </row>
    <row r="3504">
      <c r="B3504" s="2"/>
    </row>
    <row r="3505">
      <c r="B3505" s="2"/>
    </row>
    <row r="3506">
      <c r="B3506" s="2"/>
    </row>
    <row r="3507">
      <c r="B3507" s="2"/>
    </row>
    <row r="3508">
      <c r="B3508" s="2"/>
    </row>
    <row r="3509">
      <c r="B3509" s="2"/>
    </row>
    <row r="3510">
      <c r="B3510" s="2"/>
    </row>
    <row r="3511">
      <c r="B3511" s="2"/>
    </row>
    <row r="3512">
      <c r="B3512" s="2"/>
    </row>
    <row r="3513">
      <c r="B3513" s="2"/>
    </row>
    <row r="3514">
      <c r="B3514" s="2"/>
    </row>
    <row r="3515">
      <c r="B3515" s="2"/>
    </row>
    <row r="3516">
      <c r="B3516" s="2"/>
    </row>
    <row r="3517">
      <c r="B3517" s="2"/>
    </row>
    <row r="3518">
      <c r="B3518" s="2"/>
    </row>
    <row r="3519">
      <c r="B3519" s="2"/>
    </row>
    <row r="3520">
      <c r="B3520" s="2"/>
    </row>
    <row r="3521">
      <c r="B3521" s="2"/>
    </row>
    <row r="3522">
      <c r="B3522" s="2"/>
    </row>
    <row r="3523">
      <c r="B3523" s="2"/>
    </row>
    <row r="3524">
      <c r="B3524" s="2"/>
    </row>
    <row r="3525">
      <c r="B3525" s="2"/>
    </row>
    <row r="3526">
      <c r="B3526" s="2"/>
    </row>
    <row r="3527">
      <c r="B3527" s="2"/>
    </row>
    <row r="3528">
      <c r="B3528" s="2"/>
    </row>
    <row r="3529">
      <c r="B3529" s="2"/>
    </row>
    <row r="3530">
      <c r="B3530" s="2"/>
    </row>
    <row r="3531">
      <c r="B3531" s="2"/>
    </row>
    <row r="3532">
      <c r="B3532" s="2"/>
    </row>
    <row r="3533">
      <c r="B3533" s="2"/>
    </row>
    <row r="3534">
      <c r="B3534" s="2"/>
    </row>
    <row r="3535">
      <c r="B3535" s="2"/>
    </row>
    <row r="3536">
      <c r="B3536" s="2"/>
    </row>
    <row r="3537">
      <c r="B3537" s="2"/>
    </row>
    <row r="3538">
      <c r="B3538" s="2"/>
    </row>
    <row r="3539">
      <c r="B3539" s="2"/>
    </row>
    <row r="3540">
      <c r="B3540" s="2"/>
    </row>
    <row r="3541">
      <c r="B3541" s="2"/>
    </row>
    <row r="3542">
      <c r="B3542" s="2"/>
    </row>
    <row r="3543">
      <c r="B3543" s="2"/>
    </row>
    <row r="3544">
      <c r="B3544" s="2"/>
    </row>
    <row r="3545">
      <c r="B3545" s="2"/>
    </row>
    <row r="3546">
      <c r="B3546" s="2"/>
    </row>
    <row r="3547">
      <c r="B3547" s="2"/>
    </row>
    <row r="3548">
      <c r="B3548" s="2"/>
    </row>
    <row r="3549">
      <c r="B3549" s="2"/>
    </row>
    <row r="3550">
      <c r="B3550" s="2"/>
    </row>
    <row r="3551">
      <c r="B3551" s="2"/>
    </row>
    <row r="3552">
      <c r="B3552" s="2"/>
    </row>
    <row r="3553">
      <c r="B3553" s="2"/>
    </row>
    <row r="3554">
      <c r="B3554" s="2"/>
    </row>
    <row r="3555">
      <c r="B3555" s="2"/>
    </row>
    <row r="3556">
      <c r="B3556" s="2"/>
    </row>
    <row r="3557">
      <c r="B3557" s="2"/>
    </row>
    <row r="3558">
      <c r="B3558" s="2"/>
    </row>
    <row r="3559">
      <c r="B3559" s="2"/>
    </row>
    <row r="3560">
      <c r="B3560" s="2"/>
    </row>
    <row r="3561">
      <c r="B3561" s="2"/>
    </row>
    <row r="3562">
      <c r="B3562" s="2"/>
    </row>
    <row r="3563">
      <c r="B3563" s="2"/>
    </row>
    <row r="3564">
      <c r="B3564" s="2"/>
    </row>
    <row r="3565">
      <c r="B3565" s="2"/>
    </row>
    <row r="3566">
      <c r="B3566" s="2"/>
    </row>
    <row r="3567">
      <c r="B3567" s="2"/>
    </row>
    <row r="3568">
      <c r="B3568" s="2"/>
    </row>
    <row r="3569">
      <c r="B3569" s="2"/>
    </row>
    <row r="3570">
      <c r="B3570" s="2"/>
    </row>
    <row r="3571">
      <c r="B3571" s="2"/>
    </row>
    <row r="3572">
      <c r="B3572" s="2"/>
    </row>
    <row r="3573">
      <c r="B3573" s="2"/>
    </row>
    <row r="3574">
      <c r="B3574" s="2"/>
    </row>
    <row r="3575">
      <c r="B3575" s="2"/>
    </row>
    <row r="3576">
      <c r="B3576" s="2"/>
    </row>
    <row r="3577">
      <c r="B3577" s="2"/>
    </row>
    <row r="3578">
      <c r="B3578" s="2"/>
    </row>
    <row r="3579">
      <c r="B3579" s="2"/>
    </row>
    <row r="3580">
      <c r="B3580" s="2"/>
    </row>
    <row r="3581">
      <c r="B3581" s="2"/>
    </row>
    <row r="3582">
      <c r="B3582" s="2"/>
    </row>
    <row r="3583">
      <c r="B3583" s="2"/>
    </row>
    <row r="3584">
      <c r="B3584" s="2"/>
    </row>
    <row r="3585">
      <c r="B3585" s="2"/>
    </row>
    <row r="3586">
      <c r="B3586" s="2"/>
    </row>
    <row r="3587">
      <c r="B3587" s="2"/>
    </row>
    <row r="3588">
      <c r="B3588" s="2"/>
    </row>
    <row r="3589">
      <c r="B3589" s="2"/>
    </row>
    <row r="3590">
      <c r="B3590" s="2"/>
    </row>
    <row r="3591">
      <c r="B3591" s="2"/>
    </row>
    <row r="3592">
      <c r="B3592" s="2"/>
    </row>
    <row r="3593">
      <c r="B3593" s="2"/>
    </row>
    <row r="3594">
      <c r="B3594" s="2"/>
    </row>
    <row r="3595">
      <c r="B3595" s="2"/>
    </row>
    <row r="3596">
      <c r="B3596" s="2"/>
    </row>
    <row r="3597">
      <c r="B3597" s="2"/>
    </row>
    <row r="3598">
      <c r="B3598" s="2"/>
    </row>
    <row r="3599">
      <c r="B3599" s="2"/>
    </row>
    <row r="3600">
      <c r="B3600" s="2"/>
    </row>
    <row r="3601">
      <c r="B3601" s="2"/>
    </row>
    <row r="3602">
      <c r="B3602" s="2"/>
    </row>
    <row r="3603">
      <c r="B3603" s="2"/>
    </row>
    <row r="3604">
      <c r="B3604" s="2"/>
    </row>
    <row r="3605">
      <c r="B3605" s="2"/>
    </row>
    <row r="3606">
      <c r="B3606" s="2"/>
    </row>
    <row r="3607">
      <c r="B3607" s="2"/>
    </row>
    <row r="3608">
      <c r="B3608" s="2"/>
    </row>
    <row r="3609">
      <c r="B3609" s="2"/>
    </row>
    <row r="3610">
      <c r="B3610" s="2"/>
    </row>
    <row r="3611">
      <c r="B3611" s="2"/>
    </row>
    <row r="3612">
      <c r="B3612" s="2"/>
    </row>
    <row r="3613">
      <c r="B3613" s="2"/>
    </row>
    <row r="3614">
      <c r="B3614" s="2"/>
    </row>
    <row r="3615">
      <c r="B3615" s="2"/>
    </row>
    <row r="3616">
      <c r="B3616" s="2"/>
    </row>
    <row r="3617">
      <c r="B3617" s="2"/>
    </row>
    <row r="3618">
      <c r="B3618" s="2"/>
    </row>
    <row r="3619">
      <c r="B3619" s="2"/>
    </row>
    <row r="3620">
      <c r="B3620" s="2"/>
    </row>
    <row r="3621">
      <c r="B3621" s="2"/>
    </row>
    <row r="3622">
      <c r="B3622" s="2"/>
    </row>
    <row r="3623">
      <c r="B3623" s="2"/>
    </row>
    <row r="3624">
      <c r="B3624" s="2"/>
    </row>
    <row r="3625">
      <c r="B3625" s="2"/>
    </row>
    <row r="3626">
      <c r="B3626" s="2"/>
    </row>
    <row r="3627">
      <c r="B3627" s="2"/>
    </row>
    <row r="3628">
      <c r="B3628" s="2"/>
    </row>
    <row r="3629">
      <c r="B3629" s="2"/>
    </row>
    <row r="3630">
      <c r="B3630" s="2"/>
    </row>
    <row r="3631">
      <c r="B3631" s="2"/>
    </row>
    <row r="3632">
      <c r="B3632" s="2"/>
    </row>
    <row r="3633">
      <c r="B3633" s="2"/>
    </row>
    <row r="3634">
      <c r="B3634" s="2"/>
    </row>
    <row r="3635">
      <c r="B3635" s="2"/>
    </row>
    <row r="3636">
      <c r="B3636" s="2"/>
    </row>
    <row r="3637">
      <c r="B3637" s="2"/>
    </row>
    <row r="3638">
      <c r="B3638" s="2"/>
    </row>
    <row r="3639">
      <c r="B3639" s="2"/>
    </row>
    <row r="3640">
      <c r="B3640" s="2"/>
    </row>
    <row r="3641">
      <c r="B3641" s="2"/>
    </row>
    <row r="3642">
      <c r="B3642" s="2"/>
    </row>
    <row r="3643">
      <c r="B3643" s="2"/>
    </row>
    <row r="3644">
      <c r="B3644" s="2"/>
    </row>
    <row r="3645">
      <c r="B3645" s="2"/>
    </row>
    <row r="3646">
      <c r="B3646" s="2"/>
    </row>
    <row r="3647">
      <c r="B3647" s="2"/>
    </row>
    <row r="3648">
      <c r="B3648" s="2"/>
    </row>
    <row r="3649">
      <c r="B3649" s="2"/>
    </row>
    <row r="3650">
      <c r="B3650" s="2"/>
    </row>
    <row r="3651">
      <c r="B3651" s="2"/>
    </row>
    <row r="3652">
      <c r="B3652" s="2"/>
    </row>
    <row r="3653">
      <c r="B3653" s="2"/>
    </row>
    <row r="3654">
      <c r="B3654" s="2"/>
    </row>
    <row r="3655">
      <c r="B3655" s="2"/>
    </row>
    <row r="3656">
      <c r="B3656" s="2"/>
    </row>
    <row r="3657">
      <c r="B3657" s="2"/>
    </row>
    <row r="3658">
      <c r="B3658" s="2"/>
    </row>
    <row r="3659">
      <c r="B3659" s="2"/>
    </row>
    <row r="3660">
      <c r="B3660" s="2"/>
    </row>
    <row r="3661">
      <c r="B3661" s="2"/>
    </row>
    <row r="3662">
      <c r="B3662" s="2"/>
    </row>
    <row r="3663">
      <c r="B3663" s="2"/>
    </row>
    <row r="3664">
      <c r="B3664" s="2"/>
    </row>
    <row r="3665">
      <c r="B3665" s="2"/>
    </row>
    <row r="3666">
      <c r="B3666" s="2"/>
    </row>
    <row r="3667">
      <c r="B3667" s="2"/>
    </row>
    <row r="3668">
      <c r="B3668" s="2"/>
    </row>
    <row r="3669">
      <c r="B3669" s="2"/>
    </row>
    <row r="3670">
      <c r="B3670" s="2"/>
    </row>
    <row r="3671">
      <c r="B3671" s="2"/>
    </row>
    <row r="3672">
      <c r="B3672" s="2"/>
    </row>
    <row r="3673">
      <c r="B3673" s="2"/>
    </row>
    <row r="3674">
      <c r="B3674" s="2"/>
    </row>
    <row r="3675">
      <c r="B3675" s="2"/>
    </row>
    <row r="3676">
      <c r="B3676" s="2"/>
    </row>
    <row r="3677">
      <c r="B3677" s="2"/>
    </row>
    <row r="3678">
      <c r="B3678" s="2"/>
    </row>
    <row r="3679">
      <c r="B3679" s="2"/>
    </row>
    <row r="3680">
      <c r="B3680" s="2"/>
    </row>
    <row r="3681">
      <c r="B3681" s="2"/>
    </row>
    <row r="3682">
      <c r="B3682" s="2"/>
    </row>
    <row r="3683">
      <c r="B3683" s="2"/>
    </row>
    <row r="3684">
      <c r="B3684" s="2"/>
    </row>
    <row r="3685">
      <c r="B3685" s="2"/>
    </row>
    <row r="3686">
      <c r="B3686" s="2"/>
    </row>
    <row r="3687">
      <c r="B3687" s="2"/>
    </row>
    <row r="3688">
      <c r="B3688" s="2"/>
    </row>
    <row r="3689">
      <c r="B3689" s="2"/>
    </row>
    <row r="3690">
      <c r="B3690" s="2"/>
    </row>
    <row r="3691">
      <c r="B3691" s="2"/>
    </row>
    <row r="3692">
      <c r="B3692" s="2"/>
    </row>
    <row r="3693">
      <c r="B3693" s="2"/>
    </row>
    <row r="3694">
      <c r="B3694" s="2"/>
    </row>
    <row r="3695">
      <c r="B3695" s="2"/>
    </row>
    <row r="3696">
      <c r="B3696" s="2"/>
    </row>
    <row r="3697">
      <c r="B3697" s="2"/>
    </row>
    <row r="3698">
      <c r="B3698" s="2"/>
    </row>
    <row r="3699">
      <c r="B3699" s="2"/>
    </row>
    <row r="3700">
      <c r="B3700" s="2"/>
    </row>
    <row r="3701">
      <c r="B3701" s="2"/>
    </row>
    <row r="3702">
      <c r="B3702" s="2"/>
    </row>
    <row r="3703">
      <c r="B3703" s="2"/>
    </row>
    <row r="3704">
      <c r="B3704" s="2"/>
    </row>
    <row r="3705">
      <c r="B3705" s="2"/>
    </row>
    <row r="3706">
      <c r="B3706" s="2"/>
    </row>
    <row r="3707">
      <c r="B3707" s="2"/>
    </row>
    <row r="3708">
      <c r="B3708" s="2"/>
    </row>
    <row r="3709">
      <c r="B3709" s="2"/>
    </row>
    <row r="3710">
      <c r="B3710" s="2"/>
    </row>
    <row r="3711">
      <c r="B3711" s="2"/>
    </row>
    <row r="3712">
      <c r="B3712" s="2"/>
    </row>
    <row r="3713">
      <c r="B3713" s="2"/>
    </row>
    <row r="3714">
      <c r="B3714" s="2"/>
    </row>
    <row r="3715">
      <c r="B3715" s="2"/>
    </row>
    <row r="3716">
      <c r="B3716" s="2"/>
    </row>
    <row r="3717">
      <c r="B3717" s="2"/>
    </row>
    <row r="3718">
      <c r="B3718" s="2"/>
    </row>
    <row r="3719">
      <c r="B3719" s="2"/>
    </row>
    <row r="3720">
      <c r="B3720" s="2"/>
    </row>
    <row r="3721">
      <c r="B3721" s="2"/>
    </row>
    <row r="3722">
      <c r="B3722" s="2"/>
    </row>
    <row r="3723">
      <c r="B3723" s="2"/>
    </row>
    <row r="3724">
      <c r="B3724" s="2"/>
    </row>
    <row r="3725">
      <c r="B3725" s="2"/>
    </row>
    <row r="3726">
      <c r="B3726" s="2"/>
    </row>
    <row r="3727">
      <c r="B3727" s="2"/>
    </row>
    <row r="3728">
      <c r="B3728" s="2"/>
    </row>
    <row r="3729">
      <c r="B3729" s="2"/>
    </row>
    <row r="3730">
      <c r="B3730" s="2"/>
    </row>
    <row r="3731">
      <c r="B3731" s="2"/>
    </row>
    <row r="3732">
      <c r="B3732" s="2"/>
    </row>
    <row r="3733">
      <c r="B3733" s="2"/>
    </row>
    <row r="3734">
      <c r="B3734" s="2"/>
    </row>
    <row r="3735">
      <c r="B3735" s="2"/>
    </row>
    <row r="3736">
      <c r="B3736" s="2"/>
    </row>
    <row r="3737">
      <c r="B3737" s="2"/>
    </row>
    <row r="3738">
      <c r="B3738" s="2"/>
    </row>
    <row r="3739">
      <c r="B3739" s="2"/>
    </row>
    <row r="3740">
      <c r="B3740" s="2"/>
    </row>
    <row r="3741">
      <c r="B3741" s="2"/>
    </row>
    <row r="3742">
      <c r="B3742" s="2"/>
    </row>
    <row r="3743">
      <c r="B3743" s="2"/>
    </row>
    <row r="3744">
      <c r="B3744" s="2"/>
    </row>
    <row r="3745">
      <c r="B3745" s="2"/>
    </row>
    <row r="3746">
      <c r="B3746" s="2"/>
    </row>
    <row r="3747">
      <c r="B3747" s="2"/>
    </row>
    <row r="3748">
      <c r="B3748" s="2"/>
    </row>
    <row r="3749">
      <c r="B3749" s="2"/>
    </row>
    <row r="3750">
      <c r="B3750" s="2"/>
    </row>
    <row r="3751">
      <c r="B3751" s="2"/>
    </row>
    <row r="3752">
      <c r="B3752" s="2"/>
    </row>
    <row r="3753">
      <c r="B3753" s="2"/>
    </row>
    <row r="3754">
      <c r="B3754" s="2"/>
    </row>
    <row r="3755">
      <c r="B3755" s="2"/>
    </row>
    <row r="3756">
      <c r="B3756" s="2"/>
    </row>
    <row r="3757">
      <c r="B3757" s="2"/>
    </row>
    <row r="3758">
      <c r="B3758" s="2"/>
    </row>
    <row r="3759">
      <c r="B3759" s="2"/>
    </row>
    <row r="3760">
      <c r="B3760" s="2"/>
    </row>
    <row r="3761">
      <c r="B3761" s="2"/>
    </row>
    <row r="3762">
      <c r="B3762" s="2"/>
    </row>
    <row r="3763">
      <c r="B3763" s="2"/>
    </row>
    <row r="3764">
      <c r="B3764" s="2"/>
    </row>
    <row r="3765">
      <c r="B3765" s="2"/>
    </row>
    <row r="3766">
      <c r="B3766" s="2"/>
    </row>
    <row r="3767">
      <c r="B3767" s="2"/>
    </row>
    <row r="3768">
      <c r="B3768" s="2"/>
    </row>
    <row r="3769">
      <c r="B3769" s="2"/>
    </row>
    <row r="3770">
      <c r="B3770" s="2"/>
    </row>
    <row r="3771">
      <c r="B3771" s="2"/>
    </row>
    <row r="3772">
      <c r="B3772" s="2"/>
    </row>
    <row r="3773">
      <c r="B3773" s="2"/>
    </row>
    <row r="3774">
      <c r="B3774" s="2"/>
    </row>
    <row r="3775">
      <c r="B3775" s="2"/>
    </row>
    <row r="3776">
      <c r="B3776" s="2"/>
    </row>
    <row r="3777">
      <c r="B3777" s="2"/>
    </row>
    <row r="3778">
      <c r="B3778" s="2"/>
    </row>
    <row r="3779">
      <c r="B3779" s="2"/>
    </row>
    <row r="3780">
      <c r="B3780" s="2"/>
    </row>
    <row r="3781">
      <c r="B3781" s="2"/>
    </row>
    <row r="3782">
      <c r="B3782" s="2"/>
    </row>
    <row r="3783">
      <c r="B3783" s="2"/>
    </row>
    <row r="3784">
      <c r="B3784" s="2"/>
    </row>
    <row r="3785">
      <c r="B3785" s="2"/>
    </row>
    <row r="3786">
      <c r="B3786" s="2"/>
    </row>
    <row r="3787">
      <c r="B3787" s="2"/>
    </row>
    <row r="3788">
      <c r="B3788" s="2"/>
    </row>
    <row r="3789">
      <c r="B3789" s="2"/>
    </row>
    <row r="3790">
      <c r="B3790" s="2"/>
    </row>
    <row r="3791">
      <c r="B3791" s="2"/>
    </row>
    <row r="3792">
      <c r="B3792" s="2"/>
    </row>
    <row r="3793">
      <c r="B3793" s="2"/>
    </row>
    <row r="3794">
      <c r="B3794" s="2"/>
    </row>
    <row r="3795">
      <c r="B3795" s="2"/>
    </row>
    <row r="3796">
      <c r="B3796" s="2"/>
    </row>
    <row r="3797">
      <c r="B3797" s="2"/>
    </row>
    <row r="3798">
      <c r="B3798" s="2"/>
    </row>
    <row r="3799">
      <c r="B3799" s="2"/>
    </row>
    <row r="3800">
      <c r="B3800" s="2"/>
    </row>
    <row r="3801">
      <c r="B3801" s="2"/>
    </row>
    <row r="3802">
      <c r="B3802" s="2"/>
    </row>
    <row r="3803">
      <c r="B3803" s="2"/>
    </row>
    <row r="3804">
      <c r="B3804" s="2"/>
    </row>
    <row r="3805">
      <c r="B3805" s="2"/>
    </row>
    <row r="3806">
      <c r="B3806" s="2"/>
    </row>
    <row r="3807">
      <c r="B3807" s="2"/>
    </row>
    <row r="3808">
      <c r="B3808" s="2"/>
    </row>
    <row r="3809">
      <c r="B3809" s="2"/>
    </row>
    <row r="3810">
      <c r="B3810" s="2"/>
    </row>
    <row r="3811">
      <c r="B3811" s="2"/>
    </row>
    <row r="3812">
      <c r="B3812" s="2"/>
    </row>
    <row r="3813">
      <c r="B3813" s="2"/>
    </row>
    <row r="3814">
      <c r="B3814" s="2"/>
    </row>
    <row r="3815">
      <c r="B3815" s="2"/>
    </row>
    <row r="3816">
      <c r="B3816" s="2"/>
    </row>
    <row r="3817">
      <c r="B3817" s="2"/>
    </row>
    <row r="3818">
      <c r="B3818" s="2"/>
    </row>
    <row r="3819">
      <c r="B3819" s="2"/>
    </row>
    <row r="3820">
      <c r="B3820" s="2"/>
    </row>
    <row r="3821">
      <c r="B3821" s="2"/>
    </row>
    <row r="3822">
      <c r="B3822" s="2"/>
    </row>
    <row r="3823">
      <c r="B3823" s="2"/>
    </row>
    <row r="3824">
      <c r="B3824" s="2"/>
    </row>
    <row r="3825">
      <c r="B3825" s="2"/>
    </row>
    <row r="3826">
      <c r="B3826" s="2"/>
    </row>
    <row r="3827">
      <c r="B3827" s="2"/>
    </row>
    <row r="3828">
      <c r="B3828" s="2"/>
    </row>
    <row r="3829">
      <c r="B3829" s="2"/>
    </row>
    <row r="3830">
      <c r="B3830" s="2"/>
    </row>
    <row r="3831">
      <c r="B3831" s="2"/>
    </row>
    <row r="3832">
      <c r="B3832" s="2"/>
    </row>
    <row r="3833">
      <c r="B3833" s="2"/>
    </row>
    <row r="3834">
      <c r="B3834" s="2"/>
    </row>
    <row r="3835">
      <c r="B3835" s="2"/>
    </row>
    <row r="3836">
      <c r="B3836" s="2"/>
    </row>
    <row r="3837">
      <c r="B3837" s="2"/>
    </row>
    <row r="3838">
      <c r="B3838" s="2"/>
    </row>
    <row r="3839">
      <c r="B3839" s="2"/>
    </row>
    <row r="3840">
      <c r="B3840" s="2"/>
    </row>
    <row r="3841">
      <c r="B3841" s="2"/>
    </row>
    <row r="3842">
      <c r="B3842" s="2"/>
    </row>
    <row r="3843">
      <c r="B3843" s="2"/>
    </row>
    <row r="3844">
      <c r="B3844" s="2"/>
    </row>
    <row r="3845">
      <c r="B3845" s="2"/>
    </row>
    <row r="3846">
      <c r="B3846" s="2"/>
    </row>
    <row r="3847">
      <c r="B3847" s="2"/>
    </row>
    <row r="3848">
      <c r="B3848" s="2"/>
    </row>
    <row r="3849">
      <c r="B3849" s="2"/>
    </row>
    <row r="3850">
      <c r="B3850" s="2"/>
    </row>
    <row r="3851">
      <c r="B3851" s="2"/>
    </row>
    <row r="3852">
      <c r="B3852" s="2"/>
    </row>
    <row r="3853">
      <c r="B3853" s="2"/>
    </row>
    <row r="3854">
      <c r="B3854" s="2"/>
    </row>
    <row r="3855">
      <c r="B3855" s="2"/>
    </row>
    <row r="3856">
      <c r="B3856" s="2"/>
    </row>
    <row r="3857">
      <c r="B3857" s="2"/>
    </row>
    <row r="3858">
      <c r="B3858" s="2"/>
    </row>
    <row r="3859">
      <c r="B3859" s="2"/>
    </row>
    <row r="3860">
      <c r="B3860" s="2"/>
    </row>
    <row r="3861">
      <c r="B3861" s="2"/>
    </row>
    <row r="3862">
      <c r="B3862" s="2"/>
    </row>
    <row r="3863">
      <c r="B3863" s="2"/>
    </row>
    <row r="3864">
      <c r="B3864" s="2"/>
    </row>
    <row r="3865">
      <c r="B3865" s="2"/>
    </row>
    <row r="3866">
      <c r="B3866" s="2"/>
    </row>
    <row r="3867">
      <c r="B3867" s="2"/>
    </row>
    <row r="3868">
      <c r="B3868" s="2"/>
    </row>
    <row r="3869">
      <c r="B3869" s="2"/>
    </row>
    <row r="3870">
      <c r="B3870" s="2"/>
    </row>
    <row r="3871">
      <c r="B3871" s="2"/>
    </row>
    <row r="3872">
      <c r="B3872" s="2"/>
    </row>
    <row r="3873">
      <c r="B3873" s="2"/>
    </row>
    <row r="3874">
      <c r="B3874" s="2"/>
    </row>
    <row r="3875">
      <c r="B3875" s="2"/>
    </row>
    <row r="3876">
      <c r="B3876" s="2"/>
    </row>
    <row r="3877">
      <c r="B3877" s="2"/>
    </row>
    <row r="3878">
      <c r="B3878" s="2"/>
    </row>
    <row r="3879">
      <c r="B3879" s="2"/>
    </row>
    <row r="3880">
      <c r="B3880" s="2"/>
    </row>
    <row r="3881">
      <c r="B3881" s="2"/>
    </row>
    <row r="3882">
      <c r="B3882" s="2"/>
    </row>
    <row r="3883">
      <c r="B3883" s="2"/>
    </row>
    <row r="3884">
      <c r="B3884" s="2"/>
    </row>
    <row r="3885">
      <c r="B3885" s="2"/>
    </row>
    <row r="3886">
      <c r="B3886" s="2"/>
    </row>
    <row r="3887">
      <c r="B3887" s="2"/>
    </row>
    <row r="3888">
      <c r="B3888" s="2"/>
    </row>
    <row r="3889">
      <c r="B3889" s="2"/>
    </row>
    <row r="3890">
      <c r="B3890" s="2"/>
    </row>
    <row r="3891">
      <c r="B3891" s="2"/>
    </row>
    <row r="3892">
      <c r="B3892" s="2"/>
    </row>
    <row r="3893">
      <c r="B3893" s="2"/>
    </row>
    <row r="3894">
      <c r="B3894" s="2"/>
    </row>
    <row r="3895">
      <c r="B3895" s="2"/>
    </row>
    <row r="3896">
      <c r="B3896" s="2"/>
    </row>
    <row r="3897">
      <c r="B3897" s="2"/>
    </row>
    <row r="3898">
      <c r="B3898" s="2"/>
    </row>
    <row r="3899">
      <c r="B3899" s="2"/>
    </row>
    <row r="3900">
      <c r="B3900" s="2"/>
    </row>
    <row r="3901">
      <c r="B3901" s="2"/>
    </row>
    <row r="3902">
      <c r="B3902" s="2"/>
    </row>
    <row r="3903">
      <c r="B3903" s="2"/>
    </row>
    <row r="3904">
      <c r="B3904" s="2"/>
    </row>
    <row r="3905">
      <c r="B3905" s="2"/>
    </row>
    <row r="3906">
      <c r="B3906" s="2"/>
    </row>
    <row r="3907">
      <c r="B3907" s="2"/>
    </row>
    <row r="3908">
      <c r="B3908" s="2"/>
    </row>
    <row r="3909">
      <c r="B3909" s="2"/>
    </row>
    <row r="3910">
      <c r="B3910" s="2"/>
    </row>
    <row r="3911">
      <c r="B3911" s="2"/>
    </row>
    <row r="3912">
      <c r="B3912" s="2"/>
    </row>
    <row r="3913">
      <c r="B3913" s="2"/>
    </row>
    <row r="3914">
      <c r="B3914" s="2"/>
    </row>
    <row r="3915">
      <c r="B3915" s="2"/>
    </row>
    <row r="3916">
      <c r="B3916" s="2"/>
    </row>
    <row r="3917">
      <c r="B3917" s="2"/>
    </row>
    <row r="3918">
      <c r="B3918" s="2"/>
    </row>
    <row r="3919">
      <c r="B3919" s="2"/>
    </row>
    <row r="3920">
      <c r="B3920" s="2"/>
    </row>
    <row r="3921">
      <c r="B3921" s="2"/>
    </row>
    <row r="3922">
      <c r="B3922" s="2"/>
    </row>
    <row r="3923">
      <c r="B3923" s="2"/>
    </row>
    <row r="3924">
      <c r="B3924" s="2"/>
    </row>
    <row r="3925">
      <c r="B3925" s="2"/>
    </row>
    <row r="3926">
      <c r="B3926" s="2"/>
    </row>
    <row r="3927">
      <c r="B3927" s="2"/>
    </row>
    <row r="3928">
      <c r="B3928" s="2"/>
    </row>
    <row r="3929">
      <c r="B3929" s="2"/>
    </row>
    <row r="3930">
      <c r="B3930" s="2"/>
    </row>
    <row r="3931">
      <c r="B3931" s="2"/>
    </row>
    <row r="3932">
      <c r="B3932" s="2"/>
    </row>
    <row r="3933">
      <c r="B3933" s="2"/>
    </row>
    <row r="3934">
      <c r="B3934" s="2"/>
    </row>
    <row r="3935">
      <c r="B3935" s="2"/>
    </row>
    <row r="3936">
      <c r="B3936" s="2"/>
    </row>
    <row r="3937">
      <c r="B3937" s="2"/>
    </row>
    <row r="3938">
      <c r="B3938" s="2"/>
    </row>
    <row r="3939">
      <c r="B3939" s="2"/>
    </row>
    <row r="3940">
      <c r="B3940" s="2"/>
    </row>
    <row r="3941">
      <c r="B3941" s="2"/>
    </row>
    <row r="3942">
      <c r="B3942" s="2"/>
    </row>
    <row r="3943">
      <c r="B3943" s="2"/>
    </row>
    <row r="3944">
      <c r="B3944" s="2"/>
    </row>
    <row r="3945">
      <c r="B3945" s="2"/>
    </row>
    <row r="3946">
      <c r="B3946" s="2"/>
    </row>
    <row r="3947">
      <c r="B3947" s="2"/>
    </row>
    <row r="3948">
      <c r="B3948" s="2"/>
    </row>
    <row r="3949">
      <c r="B3949" s="2"/>
    </row>
    <row r="3950">
      <c r="B3950" s="2"/>
    </row>
    <row r="3951">
      <c r="B3951" s="2"/>
    </row>
    <row r="3952">
      <c r="B3952" s="2"/>
    </row>
    <row r="3953">
      <c r="B3953" s="2"/>
    </row>
    <row r="3954">
      <c r="B3954" s="2"/>
    </row>
    <row r="3955">
      <c r="B3955" s="2"/>
    </row>
    <row r="3956">
      <c r="B3956" s="2"/>
    </row>
    <row r="3957">
      <c r="B3957" s="2"/>
    </row>
    <row r="3958">
      <c r="B3958" s="2"/>
    </row>
    <row r="3959">
      <c r="B3959" s="2"/>
    </row>
    <row r="3960">
      <c r="B3960" s="2"/>
    </row>
    <row r="3961">
      <c r="B3961" s="2"/>
    </row>
    <row r="3962">
      <c r="B3962" s="2"/>
    </row>
    <row r="3963">
      <c r="B3963" s="2"/>
    </row>
    <row r="3964">
      <c r="B3964" s="2"/>
    </row>
    <row r="3965">
      <c r="B3965" s="2"/>
    </row>
    <row r="3966">
      <c r="B3966" s="2"/>
    </row>
    <row r="3967">
      <c r="B3967" s="2"/>
    </row>
    <row r="3968">
      <c r="B3968" s="2"/>
    </row>
    <row r="3969">
      <c r="B3969" s="2"/>
    </row>
    <row r="3970">
      <c r="B3970" s="2"/>
    </row>
    <row r="3971">
      <c r="B3971" s="2"/>
    </row>
    <row r="3972">
      <c r="B3972" s="2"/>
    </row>
    <row r="3973">
      <c r="B3973" s="2"/>
    </row>
    <row r="3974">
      <c r="B3974" s="2"/>
    </row>
    <row r="3975">
      <c r="B3975" s="2"/>
    </row>
    <row r="3976">
      <c r="B3976" s="2"/>
    </row>
    <row r="3977">
      <c r="B3977" s="2"/>
    </row>
    <row r="3978">
      <c r="B3978" s="2"/>
    </row>
    <row r="3979">
      <c r="B3979" s="2"/>
    </row>
    <row r="3980">
      <c r="B3980" s="2"/>
    </row>
    <row r="3981">
      <c r="B3981" s="2"/>
    </row>
    <row r="3982">
      <c r="B3982" s="2"/>
    </row>
    <row r="3983">
      <c r="B3983" s="2"/>
    </row>
    <row r="3984">
      <c r="B3984" s="2"/>
    </row>
    <row r="3985">
      <c r="B3985" s="2"/>
    </row>
    <row r="3986">
      <c r="B3986" s="2"/>
    </row>
    <row r="3987">
      <c r="B3987" s="2"/>
    </row>
    <row r="3988">
      <c r="B3988" s="2"/>
    </row>
    <row r="3989">
      <c r="B3989" s="2"/>
    </row>
    <row r="3990">
      <c r="B3990" s="2"/>
    </row>
    <row r="3991">
      <c r="B3991" s="2"/>
    </row>
    <row r="3992">
      <c r="B3992" s="2"/>
    </row>
    <row r="3993">
      <c r="B3993" s="2"/>
    </row>
    <row r="3994">
      <c r="B3994" s="2"/>
    </row>
    <row r="3995">
      <c r="B3995" s="2"/>
    </row>
    <row r="3996">
      <c r="B3996" s="2"/>
    </row>
    <row r="3997">
      <c r="B3997" s="2"/>
    </row>
    <row r="3998">
      <c r="B3998" s="2"/>
    </row>
    <row r="3999">
      <c r="B3999" s="2"/>
    </row>
    <row r="4000">
      <c r="B4000" s="2"/>
    </row>
    <row r="4001">
      <c r="B4001" s="2"/>
    </row>
    <row r="4002">
      <c r="B4002" s="2"/>
    </row>
    <row r="4003">
      <c r="B4003" s="2"/>
    </row>
    <row r="4004">
      <c r="B4004" s="2"/>
    </row>
    <row r="4005">
      <c r="B4005" s="2"/>
    </row>
    <row r="4006">
      <c r="B4006" s="2"/>
    </row>
    <row r="4007">
      <c r="B4007" s="2"/>
    </row>
    <row r="4008">
      <c r="B4008" s="2"/>
    </row>
    <row r="4009">
      <c r="B4009" s="2"/>
    </row>
    <row r="4010">
      <c r="B4010" s="2"/>
    </row>
    <row r="4011">
      <c r="B4011" s="2"/>
    </row>
    <row r="4012">
      <c r="B4012" s="2"/>
    </row>
    <row r="4013">
      <c r="B4013" s="2"/>
    </row>
    <row r="4014">
      <c r="B4014" s="2"/>
    </row>
    <row r="4015">
      <c r="B4015" s="2"/>
    </row>
    <row r="4016">
      <c r="B4016" s="2"/>
    </row>
    <row r="4017">
      <c r="B4017" s="2"/>
    </row>
    <row r="4018">
      <c r="B4018" s="2"/>
    </row>
    <row r="4019">
      <c r="B4019" s="2"/>
    </row>
    <row r="4020">
      <c r="B4020" s="2"/>
    </row>
    <row r="4021">
      <c r="B4021" s="2"/>
    </row>
    <row r="4022">
      <c r="B4022" s="2"/>
    </row>
    <row r="4023">
      <c r="B4023" s="2"/>
    </row>
    <row r="4024">
      <c r="B4024" s="2"/>
    </row>
    <row r="4025">
      <c r="B4025" s="2"/>
    </row>
    <row r="4026">
      <c r="B4026" s="2"/>
    </row>
    <row r="4027">
      <c r="B4027" s="2"/>
    </row>
    <row r="4028">
      <c r="B4028" s="2"/>
    </row>
    <row r="4029">
      <c r="B4029" s="2"/>
    </row>
    <row r="4030">
      <c r="B4030" s="2"/>
    </row>
    <row r="4031">
      <c r="B4031" s="2"/>
    </row>
    <row r="4032">
      <c r="B4032" s="2"/>
    </row>
    <row r="4033">
      <c r="B4033" s="2"/>
    </row>
    <row r="4034">
      <c r="B4034" s="2"/>
    </row>
    <row r="4035">
      <c r="B4035" s="2"/>
    </row>
    <row r="4036">
      <c r="B4036" s="2"/>
    </row>
    <row r="4037">
      <c r="B4037" s="2"/>
    </row>
    <row r="4038">
      <c r="B4038" s="2"/>
    </row>
    <row r="4039">
      <c r="B4039" s="2"/>
    </row>
    <row r="4040">
      <c r="B4040" s="2"/>
    </row>
    <row r="4041">
      <c r="B4041" s="2"/>
    </row>
    <row r="4042">
      <c r="B4042" s="2"/>
    </row>
    <row r="4043">
      <c r="B4043" s="2"/>
    </row>
    <row r="4044">
      <c r="B4044" s="2"/>
    </row>
    <row r="4045">
      <c r="B4045" s="2"/>
    </row>
    <row r="4046">
      <c r="B4046" s="2"/>
    </row>
    <row r="4047">
      <c r="B4047" s="2"/>
    </row>
    <row r="4048">
      <c r="B4048" s="2"/>
    </row>
    <row r="4049">
      <c r="B4049" s="2"/>
    </row>
    <row r="4050">
      <c r="B4050" s="2"/>
    </row>
    <row r="4051">
      <c r="B4051" s="2"/>
    </row>
    <row r="4052">
      <c r="B4052" s="2"/>
    </row>
    <row r="4053">
      <c r="B4053" s="2"/>
    </row>
    <row r="4054">
      <c r="B4054" s="2"/>
    </row>
    <row r="4055">
      <c r="B4055" s="2"/>
    </row>
    <row r="4056">
      <c r="B4056" s="2"/>
    </row>
    <row r="4057">
      <c r="B4057" s="2"/>
    </row>
    <row r="4058">
      <c r="B4058" s="2"/>
    </row>
    <row r="4059">
      <c r="B4059" s="2"/>
    </row>
    <row r="4060">
      <c r="B4060" s="2"/>
    </row>
    <row r="4061">
      <c r="B4061" s="2"/>
    </row>
    <row r="4062">
      <c r="B4062" s="2"/>
    </row>
    <row r="4063">
      <c r="B4063" s="2"/>
    </row>
    <row r="4064">
      <c r="B4064" s="2"/>
    </row>
    <row r="4065">
      <c r="B4065" s="2"/>
    </row>
    <row r="4066">
      <c r="B4066" s="2"/>
    </row>
    <row r="4067">
      <c r="B4067" s="2"/>
    </row>
    <row r="4068">
      <c r="B4068" s="2"/>
    </row>
    <row r="4069">
      <c r="B4069" s="2"/>
    </row>
    <row r="4070">
      <c r="B4070" s="2"/>
    </row>
    <row r="4071">
      <c r="B4071" s="2"/>
    </row>
    <row r="4072">
      <c r="B4072" s="2"/>
    </row>
    <row r="4073">
      <c r="B4073" s="2"/>
    </row>
    <row r="4074">
      <c r="B4074" s="2"/>
    </row>
    <row r="4075">
      <c r="B4075" s="2"/>
    </row>
    <row r="4076">
      <c r="B4076" s="2"/>
    </row>
    <row r="4077">
      <c r="B4077" s="2"/>
    </row>
    <row r="4078">
      <c r="B4078" s="2"/>
    </row>
    <row r="4079">
      <c r="B4079" s="2"/>
    </row>
    <row r="4080">
      <c r="B4080" s="2"/>
    </row>
    <row r="4081">
      <c r="B4081" s="2"/>
    </row>
    <row r="4082">
      <c r="B4082" s="2"/>
    </row>
    <row r="4083">
      <c r="B4083" s="2"/>
    </row>
    <row r="4084">
      <c r="B4084" s="2"/>
    </row>
    <row r="4085">
      <c r="B4085" s="2"/>
    </row>
    <row r="4086">
      <c r="B4086" s="2"/>
    </row>
    <row r="4087">
      <c r="B4087" s="2"/>
    </row>
    <row r="4088">
      <c r="B4088" s="2"/>
    </row>
    <row r="4089">
      <c r="B4089" s="2"/>
    </row>
    <row r="4090">
      <c r="B4090" s="2"/>
    </row>
    <row r="4091">
      <c r="B4091" s="2"/>
    </row>
    <row r="4092">
      <c r="B4092" s="2"/>
    </row>
    <row r="4093">
      <c r="B4093" s="2"/>
    </row>
    <row r="4094">
      <c r="B4094" s="2"/>
    </row>
    <row r="4095">
      <c r="B4095" s="2"/>
    </row>
    <row r="4096">
      <c r="B4096" s="2"/>
    </row>
    <row r="4097">
      <c r="B4097" s="2"/>
    </row>
    <row r="4098">
      <c r="B4098" s="2"/>
    </row>
    <row r="4099">
      <c r="B4099" s="2"/>
    </row>
    <row r="4100">
      <c r="B4100" s="2"/>
    </row>
    <row r="4101">
      <c r="B4101" s="2"/>
    </row>
    <row r="4102">
      <c r="B4102" s="2"/>
    </row>
    <row r="4103">
      <c r="B4103" s="2"/>
    </row>
    <row r="4104">
      <c r="B4104" s="2"/>
    </row>
    <row r="4105">
      <c r="B4105" s="2"/>
    </row>
    <row r="4106">
      <c r="B4106" s="2"/>
    </row>
    <row r="4107">
      <c r="B4107" s="2"/>
    </row>
    <row r="4108">
      <c r="B4108" s="2"/>
    </row>
    <row r="4109">
      <c r="B4109" s="2"/>
    </row>
    <row r="4110">
      <c r="B4110" s="2"/>
    </row>
    <row r="4111">
      <c r="B4111" s="2"/>
    </row>
    <row r="4112">
      <c r="B4112" s="2"/>
    </row>
    <row r="4113">
      <c r="B4113" s="2"/>
    </row>
    <row r="4114">
      <c r="B4114" s="2"/>
    </row>
    <row r="4115">
      <c r="B4115" s="2"/>
    </row>
    <row r="4116">
      <c r="B4116" s="2"/>
    </row>
    <row r="4117">
      <c r="B4117" s="2"/>
    </row>
    <row r="4118">
      <c r="B4118" s="2"/>
    </row>
    <row r="4119">
      <c r="B4119" s="2"/>
    </row>
    <row r="4120">
      <c r="B4120" s="2"/>
    </row>
    <row r="4121">
      <c r="B4121" s="2"/>
    </row>
    <row r="4122">
      <c r="B4122" s="2"/>
    </row>
    <row r="4123">
      <c r="B4123" s="2"/>
    </row>
    <row r="4124">
      <c r="B4124" s="2"/>
    </row>
    <row r="4125">
      <c r="B4125" s="2"/>
    </row>
    <row r="4126">
      <c r="B4126" s="2"/>
    </row>
    <row r="4127">
      <c r="B4127" s="2"/>
    </row>
    <row r="4128">
      <c r="B4128" s="2"/>
    </row>
    <row r="4129">
      <c r="B4129" s="2"/>
    </row>
    <row r="4130">
      <c r="B4130" s="2"/>
    </row>
    <row r="4131">
      <c r="B4131" s="2"/>
    </row>
    <row r="4132">
      <c r="B4132" s="2"/>
    </row>
    <row r="4133">
      <c r="B4133" s="2"/>
    </row>
    <row r="4134">
      <c r="B4134" s="2"/>
    </row>
    <row r="4135">
      <c r="B4135" s="2"/>
    </row>
    <row r="4136">
      <c r="B4136" s="2"/>
    </row>
    <row r="4137">
      <c r="B4137" s="2"/>
    </row>
    <row r="4138">
      <c r="B4138" s="2"/>
    </row>
    <row r="4139">
      <c r="B4139" s="2"/>
    </row>
    <row r="4140">
      <c r="B4140" s="2"/>
    </row>
    <row r="4141">
      <c r="B4141" s="2"/>
    </row>
    <row r="4142">
      <c r="B4142" s="2"/>
    </row>
    <row r="4143">
      <c r="B4143" s="2"/>
    </row>
    <row r="4144">
      <c r="B4144" s="2"/>
    </row>
    <row r="4145">
      <c r="B4145" s="2"/>
    </row>
    <row r="4146">
      <c r="B4146" s="2"/>
    </row>
    <row r="4147">
      <c r="B4147" s="2"/>
    </row>
    <row r="4148">
      <c r="B4148" s="2"/>
    </row>
    <row r="4149">
      <c r="B4149" s="2"/>
    </row>
    <row r="4150">
      <c r="B4150" s="2"/>
    </row>
    <row r="4151">
      <c r="B4151" s="2"/>
    </row>
    <row r="4152">
      <c r="B4152" s="2"/>
    </row>
    <row r="4153">
      <c r="B4153" s="2"/>
    </row>
    <row r="4154">
      <c r="B4154" s="2"/>
    </row>
    <row r="4155">
      <c r="B4155" s="2"/>
    </row>
    <row r="4156">
      <c r="B4156" s="2"/>
    </row>
    <row r="4157">
      <c r="B4157" s="2"/>
    </row>
    <row r="4158">
      <c r="B4158" s="2"/>
    </row>
    <row r="4159">
      <c r="B4159" s="2"/>
    </row>
    <row r="4160">
      <c r="B4160" s="2"/>
    </row>
    <row r="4161">
      <c r="B4161" s="2"/>
    </row>
    <row r="4162">
      <c r="B4162" s="2"/>
    </row>
    <row r="4163">
      <c r="B4163" s="2"/>
    </row>
    <row r="4164">
      <c r="B4164" s="2"/>
    </row>
    <row r="4165">
      <c r="B4165" s="2"/>
    </row>
    <row r="4166">
      <c r="B4166" s="2"/>
    </row>
    <row r="4167">
      <c r="B4167" s="2"/>
    </row>
    <row r="4168">
      <c r="B4168" s="2"/>
    </row>
    <row r="4169">
      <c r="B4169" s="2"/>
    </row>
    <row r="4170">
      <c r="B4170" s="2"/>
    </row>
    <row r="4171">
      <c r="B4171" s="2"/>
    </row>
    <row r="4172">
      <c r="B4172" s="2"/>
    </row>
    <row r="4173">
      <c r="B4173" s="2"/>
    </row>
    <row r="4174">
      <c r="B4174" s="2"/>
    </row>
    <row r="4175">
      <c r="B4175" s="2"/>
    </row>
    <row r="4176">
      <c r="B4176" s="2"/>
    </row>
    <row r="4177">
      <c r="B4177" s="2"/>
    </row>
    <row r="4178">
      <c r="B4178" s="2"/>
    </row>
    <row r="4179">
      <c r="B4179" s="2"/>
    </row>
    <row r="4180">
      <c r="B4180" s="2"/>
    </row>
    <row r="4181">
      <c r="B4181" s="2"/>
    </row>
    <row r="4182">
      <c r="B4182" s="2"/>
    </row>
    <row r="4183">
      <c r="B4183" s="2"/>
    </row>
    <row r="4184">
      <c r="B4184" s="2"/>
    </row>
    <row r="4185">
      <c r="B4185" s="2"/>
    </row>
    <row r="4186">
      <c r="B4186" s="2"/>
    </row>
    <row r="4187">
      <c r="B4187" s="2"/>
    </row>
    <row r="4188">
      <c r="B4188" s="2"/>
    </row>
    <row r="4189">
      <c r="B4189" s="2"/>
    </row>
    <row r="4190">
      <c r="B4190" s="2"/>
    </row>
    <row r="4191">
      <c r="B4191" s="2"/>
    </row>
    <row r="4192">
      <c r="B4192" s="2"/>
    </row>
    <row r="4193">
      <c r="B4193" s="2"/>
    </row>
    <row r="4194">
      <c r="B4194" s="2"/>
    </row>
    <row r="4195">
      <c r="B4195" s="2"/>
    </row>
    <row r="4196">
      <c r="B4196" s="2"/>
    </row>
    <row r="4197">
      <c r="B4197" s="2"/>
    </row>
    <row r="4198">
      <c r="B4198" s="2"/>
    </row>
    <row r="4199">
      <c r="B4199" s="2"/>
    </row>
    <row r="4200">
      <c r="B4200" s="2"/>
    </row>
    <row r="4201">
      <c r="B4201" s="2"/>
    </row>
    <row r="4202">
      <c r="B4202" s="2"/>
    </row>
    <row r="4203">
      <c r="B4203" s="2"/>
    </row>
    <row r="4204">
      <c r="B4204" s="2"/>
    </row>
    <row r="4205">
      <c r="B4205" s="2"/>
    </row>
    <row r="4206">
      <c r="B4206" s="2"/>
    </row>
    <row r="4207">
      <c r="B4207" s="2"/>
    </row>
    <row r="4208">
      <c r="B4208" s="2"/>
    </row>
    <row r="4209">
      <c r="B4209" s="2"/>
    </row>
    <row r="4210">
      <c r="B4210" s="2"/>
    </row>
    <row r="4211">
      <c r="B4211" s="2"/>
    </row>
    <row r="4212">
      <c r="B4212" s="2"/>
    </row>
    <row r="4213">
      <c r="B4213" s="2"/>
    </row>
    <row r="4214">
      <c r="B4214" s="2"/>
    </row>
    <row r="4215">
      <c r="B4215" s="2"/>
    </row>
    <row r="4216">
      <c r="B4216" s="2"/>
    </row>
    <row r="4217">
      <c r="B4217" s="2"/>
    </row>
    <row r="4218">
      <c r="B4218" s="2"/>
    </row>
    <row r="4219">
      <c r="B4219" s="2"/>
    </row>
    <row r="4220">
      <c r="B4220" s="2"/>
    </row>
    <row r="4221">
      <c r="B4221" s="2"/>
    </row>
    <row r="4222">
      <c r="B4222" s="2"/>
    </row>
    <row r="4223">
      <c r="B4223" s="2"/>
    </row>
    <row r="4224">
      <c r="B4224" s="2"/>
    </row>
    <row r="4225">
      <c r="B4225" s="2"/>
    </row>
    <row r="4226">
      <c r="B4226" s="2"/>
    </row>
    <row r="4227">
      <c r="B4227" s="2"/>
    </row>
    <row r="4228">
      <c r="B4228" s="2"/>
    </row>
    <row r="4229">
      <c r="B4229" s="2"/>
    </row>
    <row r="4230">
      <c r="B4230" s="2"/>
    </row>
    <row r="4231">
      <c r="B4231" s="2"/>
    </row>
    <row r="4232">
      <c r="B4232" s="2"/>
    </row>
    <row r="4233">
      <c r="B4233" s="2"/>
    </row>
    <row r="4234">
      <c r="B4234" s="2"/>
    </row>
    <row r="4235">
      <c r="B4235" s="2"/>
    </row>
    <row r="4236">
      <c r="B4236" s="2"/>
    </row>
    <row r="4237">
      <c r="B4237" s="2"/>
    </row>
    <row r="4238">
      <c r="B4238" s="2"/>
    </row>
    <row r="4239">
      <c r="B4239" s="2"/>
    </row>
    <row r="4240">
      <c r="B4240" s="2"/>
    </row>
    <row r="4241">
      <c r="B4241" s="2"/>
    </row>
    <row r="4242">
      <c r="B4242" s="2"/>
    </row>
    <row r="4243">
      <c r="B4243" s="2"/>
    </row>
    <row r="4244">
      <c r="B4244" s="2"/>
    </row>
    <row r="4245">
      <c r="B4245" s="2"/>
    </row>
    <row r="4246">
      <c r="B4246" s="2"/>
    </row>
    <row r="4247">
      <c r="B4247" s="2"/>
    </row>
    <row r="4248">
      <c r="B4248" s="2"/>
    </row>
    <row r="4249">
      <c r="B4249" s="2"/>
    </row>
    <row r="4250">
      <c r="B4250" s="2"/>
    </row>
    <row r="4251">
      <c r="B4251" s="2"/>
    </row>
    <row r="4252">
      <c r="B4252" s="2"/>
    </row>
    <row r="4253">
      <c r="B4253" s="2"/>
    </row>
    <row r="4254">
      <c r="B4254" s="2"/>
    </row>
    <row r="4255">
      <c r="B4255" s="2"/>
    </row>
    <row r="4256">
      <c r="B4256" s="2"/>
    </row>
    <row r="4257">
      <c r="B4257" s="2"/>
    </row>
    <row r="4258">
      <c r="B4258" s="2"/>
    </row>
    <row r="4259">
      <c r="B4259" s="2"/>
    </row>
    <row r="4260">
      <c r="B4260" s="2"/>
    </row>
    <row r="4261">
      <c r="B4261" s="2"/>
    </row>
    <row r="4262">
      <c r="B4262" s="2"/>
    </row>
    <row r="4263">
      <c r="B4263" s="2"/>
    </row>
    <row r="4264">
      <c r="B4264" s="2"/>
    </row>
    <row r="4265">
      <c r="B4265" s="2"/>
    </row>
    <row r="4266">
      <c r="B4266" s="2"/>
    </row>
    <row r="4267">
      <c r="B4267" s="2"/>
    </row>
    <row r="4268">
      <c r="B4268" s="2"/>
    </row>
    <row r="4269">
      <c r="B4269" s="2"/>
    </row>
    <row r="4270">
      <c r="B4270" s="2"/>
    </row>
    <row r="4271">
      <c r="B4271" s="2"/>
    </row>
    <row r="4272">
      <c r="B4272" s="2"/>
    </row>
    <row r="4273">
      <c r="B4273" s="2"/>
    </row>
    <row r="4274">
      <c r="B4274" s="2"/>
    </row>
    <row r="4275">
      <c r="B4275" s="2"/>
    </row>
    <row r="4276">
      <c r="B4276" s="2"/>
    </row>
    <row r="4277">
      <c r="B4277" s="2"/>
    </row>
    <row r="4278">
      <c r="B4278" s="2"/>
    </row>
    <row r="4279">
      <c r="B4279" s="2"/>
    </row>
    <row r="4280">
      <c r="B4280" s="2"/>
    </row>
    <row r="4281">
      <c r="B4281" s="2"/>
    </row>
    <row r="4282">
      <c r="B4282" s="2"/>
    </row>
    <row r="4283">
      <c r="B4283" s="2"/>
    </row>
    <row r="4284">
      <c r="B4284" s="2"/>
    </row>
    <row r="4285">
      <c r="B4285" s="2"/>
    </row>
    <row r="4286">
      <c r="B4286" s="2"/>
    </row>
    <row r="4287">
      <c r="B4287" s="2"/>
    </row>
    <row r="4288">
      <c r="B4288" s="2"/>
    </row>
    <row r="4289">
      <c r="B4289" s="2"/>
    </row>
    <row r="4290">
      <c r="B4290" s="2"/>
    </row>
    <row r="4291">
      <c r="B4291" s="2"/>
    </row>
    <row r="4292">
      <c r="B4292" s="2"/>
    </row>
    <row r="4293">
      <c r="B4293" s="2"/>
    </row>
    <row r="4294">
      <c r="B4294" s="2"/>
    </row>
    <row r="4295">
      <c r="B4295" s="2"/>
    </row>
    <row r="4296">
      <c r="B4296" s="2"/>
    </row>
    <row r="4297">
      <c r="B4297" s="2"/>
    </row>
    <row r="4298">
      <c r="B4298" s="2"/>
    </row>
    <row r="4299">
      <c r="B4299" s="2"/>
    </row>
    <row r="4300">
      <c r="B4300" s="2"/>
    </row>
    <row r="4301">
      <c r="B4301" s="2"/>
    </row>
    <row r="4302">
      <c r="B4302" s="2"/>
    </row>
    <row r="4303">
      <c r="B4303" s="2"/>
    </row>
    <row r="4304">
      <c r="B4304" s="2"/>
    </row>
    <row r="4305">
      <c r="B4305" s="2"/>
    </row>
    <row r="4306">
      <c r="B4306" s="2"/>
    </row>
    <row r="4307">
      <c r="B4307" s="2"/>
    </row>
    <row r="4308">
      <c r="B4308" s="2"/>
    </row>
    <row r="4309">
      <c r="B4309" s="2"/>
    </row>
    <row r="4310">
      <c r="B4310" s="2"/>
    </row>
    <row r="4311">
      <c r="B4311" s="2"/>
    </row>
    <row r="4312">
      <c r="B4312" s="2"/>
    </row>
    <row r="4313">
      <c r="B4313" s="2"/>
    </row>
    <row r="4314">
      <c r="B4314" s="2"/>
    </row>
    <row r="4315">
      <c r="B4315" s="2"/>
    </row>
    <row r="4316">
      <c r="B4316" s="2"/>
    </row>
    <row r="4317">
      <c r="B4317" s="2"/>
    </row>
    <row r="4318">
      <c r="B4318" s="2"/>
    </row>
    <row r="4319">
      <c r="B4319" s="2"/>
    </row>
    <row r="4320">
      <c r="B4320" s="2"/>
    </row>
    <row r="4321">
      <c r="B4321" s="2"/>
    </row>
    <row r="4322">
      <c r="B4322" s="2"/>
    </row>
    <row r="4323">
      <c r="B4323" s="2"/>
    </row>
    <row r="4324">
      <c r="B4324" s="2"/>
    </row>
    <row r="4325">
      <c r="B4325" s="2"/>
    </row>
    <row r="4326">
      <c r="B4326" s="2"/>
    </row>
    <row r="4327">
      <c r="B4327" s="2"/>
    </row>
    <row r="4328">
      <c r="B4328" s="2"/>
    </row>
    <row r="4329">
      <c r="B4329" s="2"/>
    </row>
    <row r="4330">
      <c r="B4330" s="2"/>
    </row>
    <row r="4331">
      <c r="B4331" s="2"/>
    </row>
    <row r="4332">
      <c r="B4332" s="2"/>
    </row>
    <row r="4333">
      <c r="B4333" s="2"/>
    </row>
    <row r="4334">
      <c r="B4334" s="2"/>
    </row>
    <row r="4335">
      <c r="B4335" s="2"/>
    </row>
    <row r="4336">
      <c r="B4336" s="2"/>
    </row>
    <row r="4337">
      <c r="B4337" s="2"/>
    </row>
    <row r="4338">
      <c r="B4338" s="2"/>
    </row>
    <row r="4339">
      <c r="B4339" s="2"/>
    </row>
    <row r="4340">
      <c r="B4340" s="2"/>
    </row>
    <row r="4341">
      <c r="B4341" s="2"/>
    </row>
    <row r="4342">
      <c r="B4342" s="2"/>
    </row>
    <row r="4343">
      <c r="B4343" s="2"/>
    </row>
    <row r="4344">
      <c r="B4344" s="2"/>
    </row>
    <row r="4345">
      <c r="B4345" s="2"/>
    </row>
    <row r="4346">
      <c r="B4346" s="2"/>
    </row>
    <row r="4347">
      <c r="B4347" s="2"/>
    </row>
    <row r="4348">
      <c r="B4348" s="2"/>
    </row>
    <row r="4349">
      <c r="B4349" s="2"/>
    </row>
    <row r="4350">
      <c r="B4350" s="2"/>
    </row>
    <row r="4351">
      <c r="B4351" s="2"/>
    </row>
    <row r="4352">
      <c r="B4352" s="2"/>
    </row>
    <row r="4353">
      <c r="B4353" s="2"/>
    </row>
    <row r="4354">
      <c r="B4354" s="2"/>
    </row>
    <row r="4355">
      <c r="B4355" s="2"/>
    </row>
    <row r="4356">
      <c r="B4356" s="2"/>
    </row>
    <row r="4357">
      <c r="B4357" s="2"/>
    </row>
    <row r="4358">
      <c r="B4358" s="2"/>
    </row>
    <row r="4359">
      <c r="B4359" s="2"/>
    </row>
    <row r="4360">
      <c r="B4360" s="2"/>
    </row>
    <row r="4361">
      <c r="B4361" s="2"/>
    </row>
    <row r="4362">
      <c r="B4362" s="2"/>
    </row>
    <row r="4363">
      <c r="B4363" s="2"/>
    </row>
    <row r="4364">
      <c r="B4364" s="2"/>
    </row>
    <row r="4365">
      <c r="B4365" s="2"/>
    </row>
    <row r="4366">
      <c r="B4366" s="2"/>
    </row>
    <row r="4367">
      <c r="B4367" s="2"/>
    </row>
    <row r="4368">
      <c r="B4368" s="2"/>
    </row>
    <row r="4369">
      <c r="B4369" s="2"/>
    </row>
    <row r="4370">
      <c r="B4370" s="2"/>
    </row>
    <row r="4371">
      <c r="B4371" s="2"/>
    </row>
    <row r="4372">
      <c r="B4372" s="2"/>
    </row>
    <row r="4373">
      <c r="B4373" s="2"/>
    </row>
    <row r="4374">
      <c r="B4374" s="2"/>
    </row>
    <row r="4375">
      <c r="B4375" s="2"/>
    </row>
    <row r="4376">
      <c r="B4376" s="2"/>
    </row>
    <row r="4377">
      <c r="B4377" s="2"/>
    </row>
    <row r="4378">
      <c r="B4378" s="2"/>
    </row>
    <row r="4379">
      <c r="B4379" s="2"/>
    </row>
    <row r="4380">
      <c r="B4380" s="2"/>
    </row>
    <row r="4381">
      <c r="B4381" s="2"/>
    </row>
    <row r="4382">
      <c r="B4382" s="2"/>
    </row>
    <row r="4383">
      <c r="B4383" s="2"/>
    </row>
    <row r="4384">
      <c r="B4384" s="2"/>
    </row>
    <row r="4385">
      <c r="B4385" s="2"/>
    </row>
    <row r="4386">
      <c r="B4386" s="2"/>
    </row>
    <row r="4387">
      <c r="B4387" s="2"/>
    </row>
    <row r="4388">
      <c r="B4388" s="2"/>
    </row>
    <row r="4389">
      <c r="B4389" s="2"/>
    </row>
    <row r="4390">
      <c r="B4390" s="2"/>
    </row>
    <row r="4391">
      <c r="B4391" s="2"/>
    </row>
    <row r="4392">
      <c r="B4392" s="2"/>
    </row>
    <row r="4393">
      <c r="B4393" s="2"/>
    </row>
    <row r="4394">
      <c r="B4394" s="2"/>
    </row>
    <row r="4395">
      <c r="B4395" s="2"/>
    </row>
    <row r="4396">
      <c r="B4396" s="2"/>
    </row>
    <row r="4397">
      <c r="B4397" s="2"/>
    </row>
    <row r="4398">
      <c r="B4398" s="2"/>
    </row>
    <row r="4399">
      <c r="B4399" s="2"/>
    </row>
    <row r="4400">
      <c r="B4400" s="2"/>
    </row>
    <row r="4401">
      <c r="B4401" s="2"/>
    </row>
    <row r="4402">
      <c r="B4402" s="2"/>
    </row>
    <row r="4403">
      <c r="B4403" s="2"/>
    </row>
    <row r="4404">
      <c r="B4404" s="2"/>
    </row>
    <row r="4405">
      <c r="B4405" s="2"/>
    </row>
    <row r="4406">
      <c r="B4406" s="2"/>
    </row>
    <row r="4407">
      <c r="B4407" s="2"/>
    </row>
    <row r="4408">
      <c r="B4408" s="2"/>
    </row>
    <row r="4409">
      <c r="B4409" s="2"/>
    </row>
    <row r="4410">
      <c r="B4410" s="2"/>
    </row>
    <row r="4411">
      <c r="B4411" s="2"/>
    </row>
    <row r="4412">
      <c r="B4412" s="2"/>
    </row>
    <row r="4413">
      <c r="B4413" s="2"/>
    </row>
    <row r="4414">
      <c r="B4414" s="2"/>
    </row>
    <row r="4415">
      <c r="B4415" s="2"/>
    </row>
    <row r="4416">
      <c r="B4416" s="2"/>
    </row>
    <row r="4417">
      <c r="B4417" s="2"/>
    </row>
    <row r="4418">
      <c r="B4418" s="2"/>
    </row>
    <row r="4419">
      <c r="B4419" s="2"/>
    </row>
    <row r="4420">
      <c r="B4420" s="2"/>
    </row>
    <row r="4421">
      <c r="B4421" s="2"/>
    </row>
    <row r="4422">
      <c r="B4422" s="2"/>
    </row>
    <row r="4423">
      <c r="B4423" s="2"/>
    </row>
    <row r="4424">
      <c r="B4424" s="2"/>
    </row>
    <row r="4425">
      <c r="B4425" s="2"/>
    </row>
    <row r="4426">
      <c r="B4426" s="2"/>
    </row>
    <row r="4427">
      <c r="B4427" s="2"/>
    </row>
    <row r="4428">
      <c r="B4428" s="2"/>
    </row>
    <row r="4429">
      <c r="B4429" s="2"/>
    </row>
    <row r="4430">
      <c r="B4430" s="2"/>
    </row>
    <row r="4431">
      <c r="B4431" s="2"/>
    </row>
    <row r="4432">
      <c r="B4432" s="2"/>
    </row>
    <row r="4433">
      <c r="B4433" s="2"/>
    </row>
    <row r="4434">
      <c r="B4434" s="2"/>
    </row>
    <row r="4435">
      <c r="B4435" s="2"/>
    </row>
    <row r="4436">
      <c r="B4436" s="2"/>
    </row>
    <row r="4437">
      <c r="B4437" s="2"/>
    </row>
    <row r="4438">
      <c r="B4438" s="2"/>
    </row>
    <row r="4439">
      <c r="B4439" s="2"/>
    </row>
    <row r="4440">
      <c r="B4440" s="2"/>
    </row>
    <row r="4441">
      <c r="B4441" s="2"/>
    </row>
    <row r="4442">
      <c r="B4442" s="2"/>
    </row>
    <row r="4443">
      <c r="B4443" s="2"/>
    </row>
    <row r="4444">
      <c r="B4444" s="2"/>
    </row>
    <row r="4445">
      <c r="B4445" s="2"/>
    </row>
    <row r="4446">
      <c r="B4446" s="2"/>
    </row>
    <row r="4447">
      <c r="B4447" s="2"/>
    </row>
    <row r="4448">
      <c r="B4448" s="2"/>
    </row>
    <row r="4449">
      <c r="B4449" s="2"/>
    </row>
    <row r="4450">
      <c r="B4450" s="2"/>
    </row>
    <row r="4451">
      <c r="B4451" s="2"/>
    </row>
    <row r="4452">
      <c r="B4452" s="2"/>
    </row>
    <row r="4453">
      <c r="B4453" s="2"/>
    </row>
    <row r="4454">
      <c r="B4454" s="2"/>
    </row>
    <row r="4455">
      <c r="B4455" s="2"/>
    </row>
    <row r="4456">
      <c r="B4456" s="2"/>
    </row>
    <row r="4457">
      <c r="B4457" s="2"/>
    </row>
    <row r="4458">
      <c r="B4458" s="2"/>
    </row>
    <row r="4459">
      <c r="B4459" s="2"/>
    </row>
    <row r="4460">
      <c r="B4460" s="2"/>
    </row>
    <row r="4461">
      <c r="B4461" s="2"/>
    </row>
    <row r="4462">
      <c r="B4462" s="2"/>
    </row>
    <row r="4463">
      <c r="B4463" s="2"/>
    </row>
    <row r="4464">
      <c r="B4464" s="2"/>
    </row>
    <row r="4465">
      <c r="B4465" s="2"/>
    </row>
    <row r="4466">
      <c r="B4466" s="2"/>
    </row>
    <row r="4467">
      <c r="B4467" s="2"/>
    </row>
    <row r="4468">
      <c r="B4468" s="2"/>
    </row>
    <row r="4469">
      <c r="B4469" s="2"/>
    </row>
    <row r="4470">
      <c r="B4470" s="2"/>
    </row>
    <row r="4471">
      <c r="B4471" s="2"/>
    </row>
    <row r="4472">
      <c r="B4472" s="2"/>
    </row>
    <row r="4473">
      <c r="B4473" s="2"/>
    </row>
    <row r="4474">
      <c r="B4474" s="2"/>
    </row>
    <row r="4475">
      <c r="B4475" s="2"/>
    </row>
    <row r="4476">
      <c r="B4476" s="2"/>
    </row>
    <row r="4477">
      <c r="B4477" s="2"/>
    </row>
    <row r="4478">
      <c r="B4478" s="2"/>
    </row>
    <row r="4479">
      <c r="B4479" s="2"/>
    </row>
    <row r="4480">
      <c r="B4480" s="2"/>
    </row>
    <row r="4481">
      <c r="B4481" s="2"/>
    </row>
    <row r="4482">
      <c r="B4482" s="2"/>
    </row>
    <row r="4483">
      <c r="B4483" s="2"/>
    </row>
    <row r="4484">
      <c r="B4484" s="2"/>
    </row>
    <row r="4485">
      <c r="B4485" s="2"/>
    </row>
    <row r="4486">
      <c r="B4486" s="2"/>
    </row>
    <row r="4487">
      <c r="B4487" s="2"/>
    </row>
    <row r="4488">
      <c r="B4488" s="2"/>
    </row>
    <row r="4489">
      <c r="B4489" s="2"/>
    </row>
    <row r="4490">
      <c r="B4490" s="2"/>
    </row>
    <row r="4491">
      <c r="B4491" s="2"/>
    </row>
    <row r="4492">
      <c r="B4492" s="2"/>
    </row>
    <row r="4493">
      <c r="B4493" s="2"/>
    </row>
    <row r="4494">
      <c r="B4494" s="2"/>
    </row>
    <row r="4495">
      <c r="B4495" s="2"/>
    </row>
    <row r="4496">
      <c r="B4496" s="2"/>
    </row>
    <row r="4497">
      <c r="B4497" s="2"/>
    </row>
    <row r="4498">
      <c r="B4498" s="2"/>
    </row>
    <row r="4499">
      <c r="B4499" s="2"/>
    </row>
    <row r="4500">
      <c r="B4500" s="2"/>
    </row>
    <row r="4501">
      <c r="B4501" s="2"/>
    </row>
    <row r="4502">
      <c r="B4502" s="2"/>
    </row>
    <row r="4503">
      <c r="B4503" s="2"/>
    </row>
    <row r="4504">
      <c r="B4504" s="2"/>
    </row>
    <row r="4505">
      <c r="B4505" s="2"/>
    </row>
    <row r="4506">
      <c r="B4506" s="2"/>
    </row>
    <row r="4507">
      <c r="B4507" s="2"/>
    </row>
    <row r="4508">
      <c r="B4508" s="2"/>
    </row>
    <row r="4509">
      <c r="B4509" s="2"/>
    </row>
    <row r="4510">
      <c r="B4510" s="2"/>
    </row>
    <row r="4511">
      <c r="B4511" s="2"/>
    </row>
    <row r="4512">
      <c r="B4512" s="2"/>
    </row>
    <row r="4513">
      <c r="B4513" s="2"/>
    </row>
    <row r="4514">
      <c r="B4514" s="2"/>
    </row>
    <row r="4515">
      <c r="B4515" s="2"/>
    </row>
    <row r="4516">
      <c r="B4516" s="2"/>
    </row>
    <row r="4517">
      <c r="B4517" s="2"/>
    </row>
    <row r="4518">
      <c r="B4518" s="2"/>
    </row>
    <row r="4519">
      <c r="B4519" s="2"/>
    </row>
    <row r="4520">
      <c r="B4520" s="2"/>
    </row>
    <row r="4521">
      <c r="B4521" s="2"/>
    </row>
    <row r="4522">
      <c r="B4522" s="2"/>
    </row>
    <row r="4523">
      <c r="B4523" s="2"/>
    </row>
    <row r="4524">
      <c r="B4524" s="2"/>
    </row>
    <row r="4525">
      <c r="B4525" s="2"/>
    </row>
    <row r="4526">
      <c r="B4526" s="2"/>
    </row>
    <row r="4527">
      <c r="B4527" s="2"/>
    </row>
    <row r="4528">
      <c r="B4528" s="2"/>
    </row>
    <row r="4529">
      <c r="B4529" s="2"/>
    </row>
    <row r="4530">
      <c r="B4530" s="2"/>
    </row>
    <row r="4531">
      <c r="B4531" s="2"/>
    </row>
    <row r="4532">
      <c r="B4532" s="2"/>
    </row>
    <row r="4533">
      <c r="B4533" s="2"/>
    </row>
    <row r="4534">
      <c r="B4534" s="2"/>
    </row>
    <row r="4535">
      <c r="B4535" s="2"/>
    </row>
    <row r="4536">
      <c r="B4536" s="2"/>
    </row>
    <row r="4537">
      <c r="B4537" s="2"/>
    </row>
    <row r="4538">
      <c r="B4538" s="2"/>
    </row>
    <row r="4539">
      <c r="B4539" s="2"/>
    </row>
    <row r="4540">
      <c r="B4540" s="2"/>
    </row>
    <row r="4541">
      <c r="B4541" s="2"/>
    </row>
    <row r="4542">
      <c r="B4542" s="2"/>
    </row>
    <row r="4543">
      <c r="B4543" s="2"/>
    </row>
    <row r="4544">
      <c r="B4544" s="2"/>
    </row>
    <row r="4545">
      <c r="B4545" s="2"/>
    </row>
    <row r="4546">
      <c r="B4546" s="2"/>
    </row>
    <row r="4547">
      <c r="B4547" s="2"/>
    </row>
    <row r="4548">
      <c r="B4548" s="2"/>
    </row>
    <row r="4549">
      <c r="B4549" s="2"/>
    </row>
    <row r="4550">
      <c r="B4550" s="2"/>
    </row>
    <row r="4551">
      <c r="B4551" s="2"/>
    </row>
    <row r="4552">
      <c r="B4552" s="2"/>
    </row>
    <row r="4553">
      <c r="B4553" s="2"/>
    </row>
    <row r="4554">
      <c r="B4554" s="2"/>
    </row>
    <row r="4555">
      <c r="B4555" s="2"/>
    </row>
    <row r="4556">
      <c r="B4556" s="2"/>
    </row>
    <row r="4557">
      <c r="B4557" s="2"/>
    </row>
    <row r="4558">
      <c r="B4558" s="2"/>
    </row>
    <row r="4559">
      <c r="B4559" s="2"/>
    </row>
    <row r="4560">
      <c r="B4560" s="2"/>
    </row>
    <row r="4561">
      <c r="B4561" s="2"/>
    </row>
    <row r="4562">
      <c r="B4562" s="2"/>
    </row>
    <row r="4563">
      <c r="B4563" s="2"/>
    </row>
    <row r="4564">
      <c r="B4564" s="2"/>
    </row>
    <row r="4565">
      <c r="B4565" s="2"/>
    </row>
    <row r="4566">
      <c r="B4566" s="2"/>
    </row>
    <row r="4567">
      <c r="B4567" s="2"/>
    </row>
    <row r="4568">
      <c r="B4568" s="2"/>
    </row>
    <row r="4569">
      <c r="B4569" s="2"/>
    </row>
    <row r="4570">
      <c r="B4570" s="2"/>
    </row>
    <row r="4571">
      <c r="B4571" s="2"/>
    </row>
    <row r="4572">
      <c r="B4572" s="2"/>
    </row>
    <row r="4573">
      <c r="B4573" s="2"/>
    </row>
    <row r="4574">
      <c r="B4574" s="2"/>
    </row>
    <row r="4575">
      <c r="B4575" s="2"/>
    </row>
    <row r="4576">
      <c r="B4576" s="2"/>
    </row>
    <row r="4577">
      <c r="B4577" s="2"/>
    </row>
    <row r="4578">
      <c r="B4578" s="2"/>
    </row>
    <row r="4579">
      <c r="B4579" s="2"/>
    </row>
    <row r="4580">
      <c r="B4580" s="2"/>
    </row>
    <row r="4581">
      <c r="B4581" s="2"/>
    </row>
    <row r="4582">
      <c r="B4582" s="2"/>
    </row>
    <row r="4583">
      <c r="B4583" s="2"/>
    </row>
    <row r="4584">
      <c r="B4584" s="2"/>
    </row>
    <row r="4585">
      <c r="B4585" s="2"/>
    </row>
    <row r="4586">
      <c r="B4586" s="2"/>
    </row>
    <row r="4587">
      <c r="B4587" s="2"/>
    </row>
    <row r="4588">
      <c r="B4588" s="2"/>
    </row>
    <row r="4589">
      <c r="B4589" s="2"/>
    </row>
    <row r="4590">
      <c r="B4590" s="2"/>
    </row>
    <row r="4591">
      <c r="B4591" s="2"/>
    </row>
    <row r="4592">
      <c r="B4592" s="2"/>
    </row>
    <row r="4593">
      <c r="B4593" s="2"/>
    </row>
    <row r="4594">
      <c r="B4594" s="2"/>
    </row>
    <row r="4595">
      <c r="B4595" s="2"/>
    </row>
    <row r="4596">
      <c r="B4596" s="2"/>
    </row>
    <row r="4597">
      <c r="B4597" s="2"/>
    </row>
    <row r="4598">
      <c r="B4598" s="2"/>
    </row>
    <row r="4599">
      <c r="B4599" s="2"/>
    </row>
    <row r="4600">
      <c r="B4600" s="2"/>
    </row>
    <row r="4601">
      <c r="B4601" s="2"/>
    </row>
    <row r="4602">
      <c r="B4602" s="2"/>
    </row>
    <row r="4603">
      <c r="B4603" s="2"/>
    </row>
    <row r="4604">
      <c r="B4604" s="2"/>
    </row>
    <row r="4605">
      <c r="B4605" s="2"/>
    </row>
    <row r="4606">
      <c r="B4606" s="2"/>
    </row>
    <row r="4607">
      <c r="B4607" s="2"/>
    </row>
    <row r="4608">
      <c r="B4608" s="2"/>
    </row>
    <row r="4609">
      <c r="B4609" s="2"/>
    </row>
    <row r="4610">
      <c r="B4610" s="2"/>
    </row>
    <row r="4611">
      <c r="B4611" s="2"/>
    </row>
    <row r="4612">
      <c r="B4612" s="2"/>
    </row>
    <row r="4613">
      <c r="B4613" s="2"/>
    </row>
    <row r="4614">
      <c r="B4614" s="2"/>
    </row>
    <row r="4615">
      <c r="B4615" s="2"/>
    </row>
    <row r="4616">
      <c r="B4616" s="2"/>
    </row>
    <row r="4617">
      <c r="B4617" s="2"/>
    </row>
    <row r="4618">
      <c r="B4618" s="2"/>
    </row>
    <row r="4619">
      <c r="B4619" s="2"/>
    </row>
    <row r="4620">
      <c r="B4620" s="2"/>
    </row>
    <row r="4621">
      <c r="B4621" s="2"/>
    </row>
    <row r="4622">
      <c r="B4622" s="2"/>
    </row>
    <row r="4623">
      <c r="B4623" s="2"/>
    </row>
    <row r="4624">
      <c r="B4624" s="2"/>
    </row>
    <row r="4625">
      <c r="B4625" s="2"/>
    </row>
    <row r="4626">
      <c r="B4626" s="2"/>
    </row>
    <row r="4627">
      <c r="B4627" s="2"/>
    </row>
    <row r="4628">
      <c r="B4628" s="2"/>
    </row>
    <row r="4629">
      <c r="B4629" s="2"/>
    </row>
    <row r="4630">
      <c r="B4630" s="2"/>
    </row>
    <row r="4631">
      <c r="B4631" s="2"/>
    </row>
    <row r="4632">
      <c r="B4632" s="2"/>
    </row>
    <row r="4633">
      <c r="B4633" s="2"/>
    </row>
    <row r="4634">
      <c r="B4634" s="2"/>
    </row>
    <row r="4635">
      <c r="B4635" s="2"/>
    </row>
    <row r="4636">
      <c r="B4636" s="2"/>
    </row>
    <row r="4637">
      <c r="B4637" s="2"/>
    </row>
    <row r="4638">
      <c r="B4638" s="2"/>
    </row>
    <row r="4639">
      <c r="B4639" s="2"/>
    </row>
    <row r="4640">
      <c r="B4640" s="2"/>
    </row>
    <row r="4641">
      <c r="B4641" s="2"/>
    </row>
    <row r="4642">
      <c r="B4642" s="2"/>
    </row>
    <row r="4643">
      <c r="B4643" s="2"/>
    </row>
    <row r="4644">
      <c r="B4644" s="2"/>
    </row>
    <row r="4645">
      <c r="B4645" s="2"/>
    </row>
    <row r="4646">
      <c r="B4646" s="2"/>
    </row>
    <row r="4647">
      <c r="B4647" s="2"/>
    </row>
    <row r="4648">
      <c r="B4648" s="2"/>
    </row>
    <row r="4649">
      <c r="B4649" s="2"/>
    </row>
    <row r="4650">
      <c r="B4650" s="2"/>
    </row>
    <row r="4651">
      <c r="B4651" s="2"/>
    </row>
    <row r="4652">
      <c r="B4652" s="2"/>
    </row>
    <row r="4653">
      <c r="B4653" s="2"/>
    </row>
    <row r="4654">
      <c r="B4654" s="2"/>
    </row>
    <row r="4655">
      <c r="B4655" s="2"/>
    </row>
    <row r="4656">
      <c r="B4656" s="2"/>
    </row>
    <row r="4657">
      <c r="B4657" s="2"/>
    </row>
    <row r="4658">
      <c r="B4658" s="2"/>
    </row>
    <row r="4659">
      <c r="B4659" s="2"/>
    </row>
    <row r="4660">
      <c r="B4660" s="2"/>
    </row>
    <row r="4661">
      <c r="B4661" s="2"/>
    </row>
    <row r="4662">
      <c r="B4662" s="2"/>
    </row>
    <row r="4663">
      <c r="B4663" s="2"/>
    </row>
    <row r="4664">
      <c r="B4664" s="2"/>
    </row>
    <row r="4665">
      <c r="B4665" s="2"/>
    </row>
    <row r="4666">
      <c r="B4666" s="2"/>
    </row>
    <row r="4667">
      <c r="B4667" s="2"/>
    </row>
    <row r="4668">
      <c r="B4668" s="2"/>
    </row>
    <row r="4669">
      <c r="B4669" s="2"/>
    </row>
    <row r="4670">
      <c r="B4670" s="2"/>
    </row>
    <row r="4671">
      <c r="B4671" s="2"/>
    </row>
    <row r="4672">
      <c r="B4672" s="2"/>
    </row>
    <row r="4673">
      <c r="B4673" s="2"/>
    </row>
    <row r="4674">
      <c r="B4674" s="2"/>
    </row>
    <row r="4675">
      <c r="B4675" s="2"/>
    </row>
    <row r="4676">
      <c r="B4676" s="2"/>
    </row>
    <row r="4677">
      <c r="B4677" s="2"/>
    </row>
    <row r="4678">
      <c r="B4678" s="2"/>
    </row>
    <row r="4679">
      <c r="B4679" s="2"/>
    </row>
    <row r="4680">
      <c r="B4680" s="2"/>
    </row>
    <row r="4681">
      <c r="B4681" s="2"/>
    </row>
    <row r="4682">
      <c r="B4682" s="2"/>
    </row>
    <row r="4683">
      <c r="B4683" s="2"/>
    </row>
    <row r="4684">
      <c r="B4684" s="2"/>
    </row>
    <row r="4685">
      <c r="B4685" s="2"/>
    </row>
    <row r="4686">
      <c r="B4686" s="2"/>
    </row>
    <row r="4687">
      <c r="B4687" s="2"/>
    </row>
    <row r="4688">
      <c r="B4688" s="2"/>
    </row>
    <row r="4689">
      <c r="B4689" s="2"/>
    </row>
    <row r="4690">
      <c r="B4690" s="2"/>
    </row>
    <row r="4691">
      <c r="B4691" s="2"/>
    </row>
    <row r="4692">
      <c r="B4692" s="2"/>
    </row>
    <row r="4693">
      <c r="B4693" s="2"/>
    </row>
    <row r="4694">
      <c r="B4694" s="2"/>
    </row>
    <row r="4695">
      <c r="B4695" s="2"/>
    </row>
    <row r="4696">
      <c r="B4696" s="2"/>
    </row>
    <row r="4697">
      <c r="B4697" s="2"/>
    </row>
    <row r="4698">
      <c r="B4698" s="2"/>
    </row>
    <row r="4699">
      <c r="B4699" s="2"/>
    </row>
    <row r="4700">
      <c r="B4700" s="2"/>
    </row>
    <row r="4701">
      <c r="B4701" s="2"/>
    </row>
    <row r="4702">
      <c r="B4702" s="2"/>
    </row>
    <row r="4703">
      <c r="B4703" s="2"/>
    </row>
    <row r="4704">
      <c r="B4704" s="2"/>
    </row>
    <row r="4705">
      <c r="B4705" s="2"/>
    </row>
    <row r="4706">
      <c r="B4706" s="2"/>
    </row>
    <row r="4707">
      <c r="B4707" s="2"/>
    </row>
    <row r="4708">
      <c r="B4708" s="2"/>
    </row>
    <row r="4709">
      <c r="B4709" s="2"/>
    </row>
    <row r="4710">
      <c r="B4710" s="2"/>
    </row>
    <row r="4711">
      <c r="B4711" s="2"/>
    </row>
    <row r="4712">
      <c r="B4712" s="2"/>
    </row>
    <row r="4713">
      <c r="B4713" s="2"/>
    </row>
    <row r="4714">
      <c r="B4714" s="2"/>
    </row>
    <row r="4715">
      <c r="B4715" s="2"/>
    </row>
    <row r="4716">
      <c r="B4716" s="2"/>
    </row>
    <row r="4717">
      <c r="B4717" s="2"/>
    </row>
    <row r="4718">
      <c r="B4718" s="2"/>
    </row>
    <row r="4719">
      <c r="B4719" s="2"/>
    </row>
    <row r="4720">
      <c r="B4720" s="2"/>
    </row>
    <row r="4721">
      <c r="B4721" s="2"/>
    </row>
    <row r="4722">
      <c r="B4722" s="2"/>
    </row>
    <row r="4723">
      <c r="B4723" s="2"/>
    </row>
    <row r="4724">
      <c r="B4724" s="2"/>
    </row>
    <row r="4725">
      <c r="B4725" s="2"/>
    </row>
    <row r="4726">
      <c r="B4726" s="2"/>
    </row>
    <row r="4727">
      <c r="B4727" s="2"/>
    </row>
    <row r="4728">
      <c r="B4728" s="2"/>
    </row>
    <row r="4729">
      <c r="B4729" s="2"/>
    </row>
    <row r="4730">
      <c r="B4730" s="2"/>
    </row>
    <row r="4731">
      <c r="B4731" s="2"/>
    </row>
    <row r="4732">
      <c r="B4732" s="2"/>
    </row>
    <row r="4733">
      <c r="B4733" s="2"/>
    </row>
    <row r="4734">
      <c r="B4734" s="2"/>
    </row>
    <row r="4735">
      <c r="B4735" s="2"/>
    </row>
    <row r="4736">
      <c r="B4736" s="2"/>
    </row>
    <row r="4737">
      <c r="B4737" s="2"/>
    </row>
    <row r="4738">
      <c r="B4738" s="2"/>
    </row>
    <row r="4739">
      <c r="B4739" s="2"/>
    </row>
    <row r="4740">
      <c r="B4740" s="2"/>
    </row>
    <row r="4741">
      <c r="B4741" s="2"/>
    </row>
    <row r="4742">
      <c r="B4742" s="2"/>
    </row>
    <row r="4743">
      <c r="B4743" s="2"/>
    </row>
    <row r="4744">
      <c r="B4744" s="2"/>
    </row>
    <row r="4745">
      <c r="B4745" s="2"/>
    </row>
    <row r="4746">
      <c r="B4746" s="2"/>
    </row>
    <row r="4747">
      <c r="B4747" s="2"/>
    </row>
    <row r="4748">
      <c r="B4748" s="2"/>
    </row>
    <row r="4749">
      <c r="B4749" s="2"/>
    </row>
    <row r="4750">
      <c r="B4750" s="2"/>
    </row>
    <row r="4751">
      <c r="B4751" s="2"/>
    </row>
    <row r="4752">
      <c r="B4752" s="2"/>
    </row>
    <row r="4753">
      <c r="B4753" s="2"/>
    </row>
    <row r="4754">
      <c r="B4754" s="2"/>
    </row>
    <row r="4755">
      <c r="B4755" s="2"/>
    </row>
    <row r="4756">
      <c r="B4756" s="2"/>
    </row>
    <row r="4757">
      <c r="B4757" s="2"/>
    </row>
    <row r="4758">
      <c r="B4758" s="2"/>
    </row>
    <row r="4759">
      <c r="B4759" s="2"/>
    </row>
    <row r="4760">
      <c r="B4760" s="2"/>
    </row>
    <row r="4761">
      <c r="B4761" s="2"/>
    </row>
    <row r="4762">
      <c r="B4762" s="2"/>
    </row>
    <row r="4763">
      <c r="B4763" s="2"/>
    </row>
    <row r="4764">
      <c r="B4764" s="2"/>
    </row>
    <row r="4765">
      <c r="B4765" s="2"/>
    </row>
    <row r="4766">
      <c r="B4766" s="2"/>
    </row>
    <row r="4767">
      <c r="B4767" s="2"/>
    </row>
    <row r="4768">
      <c r="B4768" s="2"/>
    </row>
    <row r="4769">
      <c r="B4769" s="2"/>
    </row>
    <row r="4770">
      <c r="B4770" s="2"/>
    </row>
    <row r="4771">
      <c r="B4771" s="2"/>
    </row>
    <row r="4772">
      <c r="B4772" s="2"/>
    </row>
    <row r="4773">
      <c r="B4773" s="2"/>
    </row>
    <row r="4774">
      <c r="B4774" s="2"/>
    </row>
    <row r="4775">
      <c r="B4775" s="2"/>
    </row>
    <row r="4776">
      <c r="B4776" s="2"/>
    </row>
    <row r="4777">
      <c r="B4777" s="2"/>
    </row>
    <row r="4778">
      <c r="B4778" s="2"/>
    </row>
    <row r="4779">
      <c r="B4779" s="2"/>
    </row>
    <row r="4780">
      <c r="B4780" s="2"/>
    </row>
    <row r="4781">
      <c r="B4781" s="2"/>
    </row>
    <row r="4782">
      <c r="B4782" s="2"/>
    </row>
    <row r="4783">
      <c r="B4783" s="2"/>
    </row>
    <row r="4784">
      <c r="B4784" s="2"/>
    </row>
    <row r="4785">
      <c r="B4785" s="2"/>
    </row>
    <row r="4786">
      <c r="B4786" s="2"/>
    </row>
    <row r="4787">
      <c r="B4787" s="2"/>
    </row>
    <row r="4788">
      <c r="B4788" s="2"/>
    </row>
    <row r="4789">
      <c r="B4789" s="2"/>
    </row>
    <row r="4790">
      <c r="B4790" s="2"/>
    </row>
    <row r="4791">
      <c r="B4791" s="2"/>
    </row>
    <row r="4792">
      <c r="B4792" s="2"/>
    </row>
    <row r="4793">
      <c r="B4793" s="2"/>
    </row>
    <row r="4794">
      <c r="B4794" s="2"/>
    </row>
    <row r="4795">
      <c r="B4795" s="2"/>
    </row>
    <row r="4796">
      <c r="B4796" s="2"/>
    </row>
    <row r="4797">
      <c r="B4797" s="2"/>
    </row>
    <row r="4798">
      <c r="B4798" s="2"/>
    </row>
    <row r="4799">
      <c r="B4799" s="2"/>
    </row>
    <row r="4800">
      <c r="B4800" s="2"/>
    </row>
    <row r="4801">
      <c r="B4801" s="2"/>
    </row>
    <row r="4802">
      <c r="B4802" s="2"/>
    </row>
    <row r="4803">
      <c r="B4803" s="2"/>
    </row>
    <row r="4804">
      <c r="B4804" s="2"/>
    </row>
    <row r="4805">
      <c r="B4805" s="2"/>
    </row>
    <row r="4806">
      <c r="B4806" s="2"/>
    </row>
    <row r="4807">
      <c r="B4807" s="2"/>
    </row>
    <row r="4808">
      <c r="B4808" s="2"/>
    </row>
    <row r="4809">
      <c r="B4809" s="2"/>
    </row>
    <row r="4810">
      <c r="B4810" s="2"/>
    </row>
    <row r="4811">
      <c r="B4811" s="2"/>
    </row>
    <row r="4812">
      <c r="B4812" s="2"/>
    </row>
    <row r="4813">
      <c r="B4813" s="2"/>
    </row>
    <row r="4814">
      <c r="B4814" s="2"/>
    </row>
    <row r="4815">
      <c r="B4815" s="2"/>
    </row>
    <row r="4816">
      <c r="B4816" s="2"/>
    </row>
    <row r="4817">
      <c r="B4817" s="2"/>
    </row>
    <row r="4818">
      <c r="B4818" s="2"/>
    </row>
    <row r="4819">
      <c r="B4819" s="2"/>
    </row>
    <row r="4820">
      <c r="B4820" s="2"/>
    </row>
    <row r="4821">
      <c r="B4821" s="2"/>
    </row>
    <row r="4822">
      <c r="B4822" s="2"/>
    </row>
    <row r="4823">
      <c r="B4823" s="2"/>
    </row>
    <row r="4824">
      <c r="B4824" s="2"/>
    </row>
    <row r="4825">
      <c r="B4825" s="2"/>
    </row>
    <row r="4826">
      <c r="B4826" s="2"/>
    </row>
    <row r="4827">
      <c r="B4827" s="2"/>
    </row>
    <row r="4828">
      <c r="B4828" s="2"/>
    </row>
    <row r="4829">
      <c r="B4829" s="2"/>
    </row>
    <row r="4830">
      <c r="B4830" s="2"/>
    </row>
    <row r="4831">
      <c r="B4831" s="2"/>
    </row>
    <row r="4832">
      <c r="B4832" s="2"/>
    </row>
    <row r="4833">
      <c r="B4833" s="2"/>
    </row>
    <row r="4834">
      <c r="B4834" s="2"/>
    </row>
    <row r="4835">
      <c r="B4835" s="2"/>
    </row>
    <row r="4836">
      <c r="B4836" s="2"/>
    </row>
    <row r="4837">
      <c r="B4837" s="2"/>
    </row>
    <row r="4838">
      <c r="B4838" s="2"/>
    </row>
    <row r="4839">
      <c r="B4839" s="2"/>
    </row>
    <row r="4840">
      <c r="B4840" s="2"/>
    </row>
    <row r="4841">
      <c r="B4841" s="2"/>
    </row>
    <row r="4842">
      <c r="B4842" s="2"/>
    </row>
    <row r="4843">
      <c r="B4843" s="2"/>
    </row>
    <row r="4844">
      <c r="B4844" s="2"/>
    </row>
    <row r="4845">
      <c r="B4845" s="2"/>
    </row>
    <row r="4846">
      <c r="B4846" s="2"/>
    </row>
    <row r="4847">
      <c r="B4847" s="2"/>
    </row>
    <row r="4848">
      <c r="B4848" s="2"/>
    </row>
    <row r="4849">
      <c r="B4849" s="2"/>
    </row>
    <row r="4850">
      <c r="B4850" s="2"/>
    </row>
    <row r="4851">
      <c r="B4851" s="2"/>
    </row>
    <row r="4852">
      <c r="B4852" s="2"/>
    </row>
    <row r="4853">
      <c r="B4853" s="2"/>
    </row>
    <row r="4854">
      <c r="B4854" s="2"/>
    </row>
    <row r="4855">
      <c r="B4855" s="2"/>
    </row>
    <row r="4856">
      <c r="B4856" s="2"/>
    </row>
    <row r="4857">
      <c r="B4857" s="2"/>
    </row>
    <row r="4858">
      <c r="B4858" s="2"/>
    </row>
    <row r="4859">
      <c r="B4859" s="2"/>
    </row>
    <row r="4860">
      <c r="B4860" s="2"/>
    </row>
    <row r="4861">
      <c r="B4861" s="2"/>
    </row>
    <row r="4862">
      <c r="B4862" s="2"/>
    </row>
    <row r="4863">
      <c r="B4863" s="2"/>
    </row>
    <row r="4864">
      <c r="B4864" s="2"/>
    </row>
    <row r="4865">
      <c r="B4865" s="2"/>
    </row>
    <row r="4866">
      <c r="B4866" s="2"/>
    </row>
    <row r="4867">
      <c r="B4867" s="2"/>
    </row>
    <row r="4868">
      <c r="B4868" s="2"/>
    </row>
    <row r="4869">
      <c r="B4869" s="2"/>
    </row>
    <row r="4870">
      <c r="B4870" s="2"/>
    </row>
    <row r="4871">
      <c r="B4871" s="2"/>
    </row>
    <row r="4872">
      <c r="B4872" s="2"/>
    </row>
    <row r="4873">
      <c r="B4873" s="2"/>
    </row>
    <row r="4874">
      <c r="B4874" s="2"/>
    </row>
    <row r="4875">
      <c r="B4875" s="2"/>
    </row>
    <row r="4876">
      <c r="B4876" s="2"/>
    </row>
    <row r="4877">
      <c r="B4877" s="2"/>
    </row>
    <row r="4878">
      <c r="B4878" s="2"/>
    </row>
    <row r="4879">
      <c r="B4879" s="2"/>
    </row>
    <row r="4880">
      <c r="B4880" s="2"/>
    </row>
    <row r="4881">
      <c r="B4881" s="2"/>
    </row>
    <row r="4882">
      <c r="B4882" s="2"/>
    </row>
    <row r="4883">
      <c r="B4883" s="2"/>
    </row>
    <row r="4884">
      <c r="B4884" s="2"/>
    </row>
    <row r="4885">
      <c r="B4885" s="2"/>
    </row>
    <row r="4886">
      <c r="B4886" s="2"/>
    </row>
    <row r="4887">
      <c r="B4887" s="2"/>
    </row>
    <row r="4888">
      <c r="B4888" s="2"/>
    </row>
    <row r="4889">
      <c r="B4889" s="2"/>
    </row>
    <row r="4890">
      <c r="B4890" s="2"/>
    </row>
    <row r="4891">
      <c r="B4891" s="2"/>
    </row>
    <row r="4892">
      <c r="B4892" s="2"/>
    </row>
    <row r="4893">
      <c r="B4893" s="2"/>
    </row>
    <row r="4894">
      <c r="B4894" s="2"/>
    </row>
    <row r="4895">
      <c r="B4895" s="2"/>
    </row>
    <row r="4896">
      <c r="B4896" s="2"/>
    </row>
    <row r="4897">
      <c r="B4897" s="2"/>
    </row>
    <row r="4898">
      <c r="B4898" s="2"/>
    </row>
    <row r="4899">
      <c r="B4899" s="2"/>
    </row>
    <row r="4900">
      <c r="B4900" s="2"/>
    </row>
    <row r="4901">
      <c r="B4901" s="2"/>
    </row>
    <row r="4902">
      <c r="B4902" s="2"/>
    </row>
    <row r="4903">
      <c r="B4903" s="2"/>
    </row>
    <row r="4904">
      <c r="B4904" s="2"/>
    </row>
    <row r="4905">
      <c r="B4905" s="2"/>
    </row>
    <row r="4906">
      <c r="B4906" s="2"/>
    </row>
    <row r="4907">
      <c r="B4907" s="2"/>
    </row>
    <row r="4908">
      <c r="B4908" s="2"/>
    </row>
    <row r="4909">
      <c r="B4909" s="2"/>
    </row>
    <row r="4910">
      <c r="B4910" s="2"/>
    </row>
    <row r="4911">
      <c r="B4911" s="2"/>
    </row>
    <row r="4912">
      <c r="B4912" s="2"/>
    </row>
    <row r="4913">
      <c r="B4913" s="2"/>
    </row>
    <row r="4914">
      <c r="B4914" s="2"/>
    </row>
    <row r="4915">
      <c r="B4915" s="2"/>
    </row>
    <row r="4916">
      <c r="B4916" s="2"/>
    </row>
    <row r="4917">
      <c r="B4917" s="2"/>
    </row>
    <row r="4918">
      <c r="B4918" s="2"/>
    </row>
    <row r="4919">
      <c r="B4919" s="2"/>
    </row>
    <row r="4920">
      <c r="B4920" s="2"/>
    </row>
    <row r="4921">
      <c r="B4921" s="2"/>
    </row>
    <row r="4922">
      <c r="B4922" s="2"/>
    </row>
    <row r="4923">
      <c r="B4923" s="2"/>
    </row>
    <row r="4924">
      <c r="B4924" s="2"/>
    </row>
    <row r="4925">
      <c r="B4925" s="2"/>
    </row>
    <row r="4926">
      <c r="B4926" s="2"/>
    </row>
    <row r="4927">
      <c r="B4927" s="2"/>
    </row>
    <row r="4928">
      <c r="B4928" s="2"/>
    </row>
    <row r="4929">
      <c r="B4929" s="2"/>
    </row>
    <row r="4930">
      <c r="B4930" s="2"/>
    </row>
    <row r="4931">
      <c r="B4931" s="2"/>
    </row>
    <row r="4932">
      <c r="B4932" s="2"/>
    </row>
    <row r="4933">
      <c r="B4933" s="2"/>
    </row>
    <row r="4934">
      <c r="B4934" s="2"/>
    </row>
    <row r="4935">
      <c r="B4935" s="2"/>
    </row>
    <row r="4936">
      <c r="B4936" s="2"/>
    </row>
    <row r="4937">
      <c r="B4937" s="2"/>
    </row>
    <row r="4938">
      <c r="B4938" s="2"/>
    </row>
    <row r="4939">
      <c r="B4939" s="2"/>
    </row>
    <row r="4940">
      <c r="B4940" s="2"/>
    </row>
    <row r="4941">
      <c r="B4941" s="2"/>
    </row>
    <row r="4942">
      <c r="B4942" s="2"/>
    </row>
    <row r="4943">
      <c r="B4943" s="2"/>
    </row>
    <row r="4944">
      <c r="B4944" s="2"/>
    </row>
    <row r="4945">
      <c r="B4945" s="2"/>
    </row>
    <row r="4946">
      <c r="B4946" s="2"/>
    </row>
    <row r="4947">
      <c r="B4947" s="2"/>
    </row>
    <row r="4948">
      <c r="B4948" s="2"/>
    </row>
    <row r="4949">
      <c r="B4949" s="2"/>
    </row>
    <row r="4950">
      <c r="B4950" s="2"/>
    </row>
    <row r="4951">
      <c r="B4951" s="2"/>
    </row>
    <row r="4952">
      <c r="B4952" s="2"/>
    </row>
    <row r="4953">
      <c r="B4953" s="2"/>
    </row>
    <row r="4954">
      <c r="B4954" s="2"/>
    </row>
    <row r="4955">
      <c r="B4955" s="2"/>
    </row>
    <row r="4956">
      <c r="B4956" s="2"/>
    </row>
    <row r="4957">
      <c r="B4957" s="2"/>
    </row>
    <row r="4958">
      <c r="B4958" s="2"/>
    </row>
    <row r="4959">
      <c r="B4959" s="2"/>
    </row>
    <row r="4960">
      <c r="B4960" s="2"/>
    </row>
    <row r="4961">
      <c r="B4961" s="2"/>
    </row>
    <row r="4962">
      <c r="B4962" s="2"/>
    </row>
    <row r="4963">
      <c r="B4963" s="2"/>
    </row>
    <row r="4964">
      <c r="B4964" s="2"/>
    </row>
    <row r="4965">
      <c r="B4965" s="2"/>
    </row>
    <row r="4966">
      <c r="B4966" s="2"/>
    </row>
    <row r="4967">
      <c r="B4967" s="2"/>
    </row>
    <row r="4968">
      <c r="B4968" s="2"/>
    </row>
    <row r="4969">
      <c r="B4969" s="2"/>
    </row>
    <row r="4970">
      <c r="B4970" s="2"/>
    </row>
    <row r="4971">
      <c r="B4971" s="2"/>
    </row>
    <row r="4972">
      <c r="B4972" s="2"/>
    </row>
    <row r="4973">
      <c r="B4973" s="2"/>
    </row>
    <row r="4974">
      <c r="B4974" s="2"/>
    </row>
    <row r="4975">
      <c r="B4975" s="2"/>
    </row>
    <row r="4976">
      <c r="B4976" s="2"/>
    </row>
    <row r="4977">
      <c r="B4977" s="2"/>
    </row>
    <row r="4978">
      <c r="B4978" s="2"/>
    </row>
    <row r="4979">
      <c r="B4979" s="2"/>
    </row>
    <row r="4980">
      <c r="B4980" s="2"/>
    </row>
    <row r="4981">
      <c r="B4981" s="2"/>
    </row>
    <row r="4982">
      <c r="B4982" s="2"/>
    </row>
    <row r="4983">
      <c r="B4983" s="2"/>
    </row>
    <row r="4984">
      <c r="B4984" s="2"/>
    </row>
    <row r="4985">
      <c r="B4985" s="2"/>
    </row>
    <row r="4986">
      <c r="B4986" s="2"/>
    </row>
    <row r="4987">
      <c r="B4987" s="2"/>
    </row>
    <row r="4988">
      <c r="B4988" s="2"/>
    </row>
    <row r="4989">
      <c r="B4989" s="2"/>
    </row>
    <row r="4990">
      <c r="B4990" s="2"/>
    </row>
    <row r="4991">
      <c r="B4991" s="2"/>
    </row>
    <row r="4992">
      <c r="B4992" s="2"/>
    </row>
    <row r="4993">
      <c r="B4993" s="2"/>
    </row>
    <row r="4994">
      <c r="B4994" s="2"/>
    </row>
    <row r="4995">
      <c r="B4995" s="2"/>
    </row>
    <row r="4996">
      <c r="B4996" s="2"/>
    </row>
    <row r="4997">
      <c r="B4997" s="2"/>
    </row>
    <row r="4998">
      <c r="B4998" s="2"/>
    </row>
    <row r="4999">
      <c r="B4999" s="2"/>
    </row>
    <row r="5000">
      <c r="B5000" s="2"/>
    </row>
    <row r="5001">
      <c r="B5001" s="2"/>
    </row>
    <row r="5002">
      <c r="B5002" s="2"/>
    </row>
    <row r="5003">
      <c r="B5003" s="2"/>
    </row>
    <row r="5004">
      <c r="B5004" s="2"/>
    </row>
    <row r="5005">
      <c r="B5005" s="2"/>
    </row>
    <row r="5006">
      <c r="B5006" s="2"/>
    </row>
    <row r="5007">
      <c r="B5007" s="2"/>
    </row>
    <row r="5008">
      <c r="B5008" s="2"/>
    </row>
    <row r="5009">
      <c r="B5009" s="2"/>
    </row>
    <row r="5010">
      <c r="B5010" s="2"/>
    </row>
    <row r="5011">
      <c r="B5011" s="2"/>
    </row>
    <row r="5012">
      <c r="B5012" s="2"/>
    </row>
    <row r="5013">
      <c r="B5013" s="2"/>
    </row>
    <row r="5014">
      <c r="B5014" s="2"/>
    </row>
    <row r="5015">
      <c r="B5015" s="2"/>
    </row>
    <row r="5016">
      <c r="B5016" s="2"/>
    </row>
    <row r="5017">
      <c r="B5017" s="2"/>
    </row>
    <row r="5018">
      <c r="B5018" s="2"/>
    </row>
    <row r="5019">
      <c r="B5019" s="2"/>
    </row>
    <row r="5020">
      <c r="B5020" s="2"/>
    </row>
    <row r="5021">
      <c r="B5021" s="2"/>
    </row>
    <row r="5022">
      <c r="B5022" s="2"/>
    </row>
    <row r="5023">
      <c r="B5023" s="2"/>
    </row>
    <row r="5024">
      <c r="B5024" s="2"/>
    </row>
    <row r="5025">
      <c r="B5025" s="2"/>
    </row>
    <row r="5026">
      <c r="B5026" s="2"/>
    </row>
    <row r="5027">
      <c r="B5027" s="2"/>
    </row>
    <row r="5028">
      <c r="B5028" s="2"/>
    </row>
    <row r="5029">
      <c r="B5029" s="2"/>
    </row>
    <row r="5030">
      <c r="B5030" s="2"/>
    </row>
    <row r="5031">
      <c r="B5031" s="2"/>
    </row>
    <row r="5032">
      <c r="B5032" s="2"/>
    </row>
    <row r="5033">
      <c r="B5033" s="2"/>
    </row>
    <row r="5034">
      <c r="B5034" s="2"/>
    </row>
    <row r="5035">
      <c r="B5035" s="2"/>
    </row>
    <row r="5036">
      <c r="B5036" s="2"/>
    </row>
    <row r="5037">
      <c r="B5037" s="2"/>
    </row>
    <row r="5038">
      <c r="B5038" s="2"/>
    </row>
    <row r="5039">
      <c r="B5039" s="2"/>
    </row>
    <row r="5040">
      <c r="B5040" s="2"/>
    </row>
    <row r="5041">
      <c r="B5041" s="2"/>
    </row>
    <row r="5042">
      <c r="B5042" s="2"/>
    </row>
    <row r="5043">
      <c r="B5043" s="2"/>
    </row>
    <row r="5044">
      <c r="B5044" s="2"/>
    </row>
    <row r="5045">
      <c r="B5045" s="2"/>
    </row>
    <row r="5046">
      <c r="B5046" s="2"/>
    </row>
    <row r="5047">
      <c r="B5047" s="2"/>
    </row>
    <row r="5048">
      <c r="B5048" s="2"/>
    </row>
    <row r="5049">
      <c r="B5049" s="2"/>
    </row>
    <row r="5050">
      <c r="B5050" s="2"/>
    </row>
    <row r="5051">
      <c r="B5051" s="2"/>
    </row>
    <row r="5052">
      <c r="B5052" s="2"/>
    </row>
    <row r="5053">
      <c r="B5053" s="2"/>
    </row>
    <row r="5054">
      <c r="B5054" s="2"/>
    </row>
    <row r="5055">
      <c r="B5055" s="2"/>
    </row>
    <row r="5056">
      <c r="B5056" s="2"/>
    </row>
    <row r="5057">
      <c r="B5057" s="2"/>
    </row>
    <row r="5058">
      <c r="B5058" s="2"/>
    </row>
    <row r="5059">
      <c r="B5059" s="2"/>
    </row>
    <row r="5060">
      <c r="B5060" s="2"/>
    </row>
    <row r="5061">
      <c r="B5061" s="2"/>
    </row>
    <row r="5062">
      <c r="B5062" s="2"/>
    </row>
    <row r="5063">
      <c r="B5063" s="2"/>
    </row>
    <row r="5064">
      <c r="B5064" s="2"/>
    </row>
    <row r="5065">
      <c r="B5065" s="2"/>
    </row>
    <row r="5066">
      <c r="B5066" s="2"/>
    </row>
    <row r="5067">
      <c r="B5067" s="2"/>
    </row>
    <row r="5068">
      <c r="B5068" s="2"/>
    </row>
    <row r="5069">
      <c r="B5069" s="2"/>
    </row>
    <row r="5070">
      <c r="B5070" s="2"/>
    </row>
    <row r="5071">
      <c r="B5071" s="2"/>
    </row>
    <row r="5072">
      <c r="B5072" s="2"/>
    </row>
    <row r="5073">
      <c r="B5073" s="2"/>
    </row>
    <row r="5074">
      <c r="B5074" s="2"/>
    </row>
    <row r="5075">
      <c r="B5075" s="2"/>
    </row>
    <row r="5076">
      <c r="B5076" s="2"/>
    </row>
    <row r="5077">
      <c r="B5077" s="2"/>
    </row>
    <row r="5078">
      <c r="B5078" s="2"/>
    </row>
    <row r="5079">
      <c r="B5079" s="2"/>
    </row>
    <row r="5080">
      <c r="B5080" s="2"/>
    </row>
    <row r="5081">
      <c r="B5081" s="2"/>
    </row>
    <row r="5082">
      <c r="B5082" s="2"/>
    </row>
    <row r="5083">
      <c r="B5083" s="2"/>
    </row>
    <row r="5084">
      <c r="B5084" s="2"/>
    </row>
    <row r="5085">
      <c r="B5085" s="2"/>
    </row>
    <row r="5086">
      <c r="B5086" s="2"/>
    </row>
    <row r="5087">
      <c r="B5087" s="2"/>
    </row>
    <row r="5088">
      <c r="B5088" s="2"/>
    </row>
    <row r="5089">
      <c r="B5089" s="2"/>
    </row>
    <row r="5090">
      <c r="B5090" s="2"/>
    </row>
    <row r="5091">
      <c r="B5091" s="2"/>
    </row>
    <row r="5092">
      <c r="B5092" s="2"/>
    </row>
    <row r="5093">
      <c r="B5093" s="2"/>
    </row>
    <row r="5094">
      <c r="B5094" s="2"/>
    </row>
    <row r="5095">
      <c r="B5095" s="2"/>
    </row>
    <row r="5096">
      <c r="B5096" s="2"/>
    </row>
    <row r="5097">
      <c r="B5097" s="2"/>
    </row>
    <row r="5098">
      <c r="B5098" s="2"/>
    </row>
    <row r="5099">
      <c r="B5099" s="2"/>
    </row>
    <row r="5100">
      <c r="B5100" s="2"/>
    </row>
    <row r="5101">
      <c r="B5101" s="2"/>
    </row>
    <row r="5102">
      <c r="B5102" s="2"/>
    </row>
    <row r="5103">
      <c r="B5103" s="2"/>
    </row>
    <row r="5104">
      <c r="B5104" s="2"/>
    </row>
    <row r="5105">
      <c r="B5105" s="2"/>
    </row>
    <row r="5106">
      <c r="B5106" s="2"/>
    </row>
    <row r="5107">
      <c r="B5107" s="2"/>
    </row>
    <row r="5108">
      <c r="B5108" s="2"/>
    </row>
    <row r="5109">
      <c r="B5109" s="2"/>
    </row>
    <row r="5110">
      <c r="B5110" s="2"/>
    </row>
    <row r="5111">
      <c r="B5111" s="2"/>
    </row>
    <row r="5112">
      <c r="B5112" s="2"/>
    </row>
    <row r="5113">
      <c r="B5113" s="2"/>
    </row>
    <row r="5114">
      <c r="B5114" s="2"/>
    </row>
    <row r="5115">
      <c r="B5115" s="2"/>
    </row>
    <row r="5116">
      <c r="B5116" s="2"/>
    </row>
    <row r="5117">
      <c r="B5117" s="2"/>
    </row>
    <row r="5118">
      <c r="B5118" s="2"/>
    </row>
    <row r="5119">
      <c r="B5119" s="2"/>
    </row>
    <row r="5120">
      <c r="B5120" s="2"/>
    </row>
    <row r="5121">
      <c r="B5121" s="2"/>
    </row>
    <row r="5122">
      <c r="B5122" s="2"/>
    </row>
    <row r="5123">
      <c r="B5123" s="2"/>
    </row>
    <row r="5124">
      <c r="B5124" s="2"/>
    </row>
    <row r="5125">
      <c r="B5125" s="2"/>
    </row>
    <row r="5126">
      <c r="B5126" s="2"/>
    </row>
    <row r="5127">
      <c r="B5127" s="2"/>
    </row>
    <row r="5128">
      <c r="B5128" s="2"/>
    </row>
    <row r="5129">
      <c r="B5129" s="2"/>
    </row>
    <row r="5130">
      <c r="B5130" s="2"/>
    </row>
    <row r="5131">
      <c r="B5131" s="2"/>
    </row>
    <row r="5132">
      <c r="B5132" s="2"/>
    </row>
    <row r="5133">
      <c r="B5133" s="2"/>
    </row>
    <row r="5134">
      <c r="B5134" s="2"/>
    </row>
    <row r="5135">
      <c r="B5135" s="2"/>
    </row>
    <row r="5136">
      <c r="B5136" s="2"/>
    </row>
    <row r="5137">
      <c r="B5137" s="2"/>
    </row>
    <row r="5138">
      <c r="B5138" s="2"/>
    </row>
    <row r="5139">
      <c r="B5139" s="2"/>
    </row>
    <row r="5140">
      <c r="B5140" s="2"/>
    </row>
    <row r="5141">
      <c r="B5141" s="2"/>
    </row>
    <row r="5142">
      <c r="B5142" s="2"/>
    </row>
    <row r="5143">
      <c r="B5143" s="2"/>
    </row>
    <row r="5144">
      <c r="B5144" s="2"/>
    </row>
    <row r="5145">
      <c r="B5145" s="2"/>
    </row>
    <row r="5146">
      <c r="B5146" s="2"/>
    </row>
    <row r="5147">
      <c r="B5147" s="2"/>
    </row>
    <row r="5148">
      <c r="B5148" s="2"/>
    </row>
    <row r="5149">
      <c r="B5149" s="2"/>
    </row>
    <row r="5150">
      <c r="B5150" s="2"/>
    </row>
    <row r="5151">
      <c r="B5151" s="2"/>
    </row>
    <row r="5152">
      <c r="B5152" s="2"/>
    </row>
    <row r="5153">
      <c r="B5153" s="2"/>
    </row>
    <row r="5154">
      <c r="B5154" s="2"/>
    </row>
    <row r="5155">
      <c r="B5155" s="2"/>
    </row>
    <row r="5156">
      <c r="B5156" s="2"/>
    </row>
    <row r="5157">
      <c r="B5157" s="2"/>
    </row>
    <row r="5158">
      <c r="B5158" s="2"/>
    </row>
    <row r="5159">
      <c r="B5159" s="2"/>
    </row>
    <row r="5160">
      <c r="B5160" s="2"/>
    </row>
    <row r="5161">
      <c r="B5161" s="2"/>
    </row>
    <row r="5162">
      <c r="B5162" s="2"/>
    </row>
    <row r="5163">
      <c r="B5163" s="2"/>
    </row>
    <row r="5164">
      <c r="B5164" s="2"/>
    </row>
    <row r="5165">
      <c r="B5165" s="2"/>
    </row>
    <row r="5166">
      <c r="B5166" s="2"/>
    </row>
    <row r="5167">
      <c r="B5167" s="2"/>
    </row>
    <row r="5168">
      <c r="B5168" s="2"/>
    </row>
    <row r="5169">
      <c r="B5169" s="2"/>
    </row>
    <row r="5170">
      <c r="B5170" s="2"/>
    </row>
    <row r="5171">
      <c r="B5171" s="2"/>
    </row>
    <row r="5172">
      <c r="B5172" s="2"/>
    </row>
    <row r="5173">
      <c r="B5173" s="2"/>
    </row>
    <row r="5174">
      <c r="B5174" s="2"/>
    </row>
    <row r="5175">
      <c r="B5175" s="2"/>
    </row>
    <row r="5176">
      <c r="B5176" s="2"/>
    </row>
    <row r="5177">
      <c r="B5177" s="2"/>
    </row>
    <row r="5178">
      <c r="B5178" s="2"/>
    </row>
    <row r="5179">
      <c r="B5179" s="2"/>
    </row>
    <row r="5180">
      <c r="B5180" s="2"/>
    </row>
    <row r="5181">
      <c r="B5181" s="2"/>
    </row>
    <row r="5182">
      <c r="B5182" s="2"/>
    </row>
    <row r="5183">
      <c r="B5183" s="2"/>
    </row>
    <row r="5184">
      <c r="B5184" s="2"/>
    </row>
    <row r="5185">
      <c r="B5185" s="2"/>
    </row>
    <row r="5186">
      <c r="B5186" s="2"/>
    </row>
    <row r="5187">
      <c r="B5187" s="2"/>
    </row>
    <row r="5188">
      <c r="B5188" s="2"/>
    </row>
    <row r="5189">
      <c r="B5189" s="2"/>
    </row>
    <row r="5190">
      <c r="B5190" s="2"/>
    </row>
    <row r="5191">
      <c r="B5191" s="2"/>
    </row>
    <row r="5192">
      <c r="B5192" s="2"/>
    </row>
    <row r="5193">
      <c r="B5193" s="2"/>
    </row>
    <row r="5194">
      <c r="B5194" s="2"/>
    </row>
    <row r="5195">
      <c r="B5195" s="2"/>
    </row>
    <row r="5196">
      <c r="B5196" s="2"/>
    </row>
    <row r="5197">
      <c r="B5197" s="2"/>
    </row>
    <row r="5198">
      <c r="B5198" s="2"/>
    </row>
    <row r="5199">
      <c r="B5199" s="2"/>
    </row>
    <row r="5200">
      <c r="B5200" s="2"/>
    </row>
    <row r="5201">
      <c r="B5201" s="2"/>
    </row>
    <row r="5202">
      <c r="B5202" s="2"/>
    </row>
    <row r="5203">
      <c r="B5203" s="2"/>
    </row>
    <row r="5204">
      <c r="B5204" s="2"/>
    </row>
    <row r="5205">
      <c r="B5205" s="2"/>
    </row>
    <row r="5206">
      <c r="B5206" s="2"/>
    </row>
    <row r="5207">
      <c r="B5207" s="2"/>
    </row>
    <row r="5208">
      <c r="B5208" s="2"/>
    </row>
    <row r="5209">
      <c r="B5209" s="2"/>
    </row>
    <row r="5210">
      <c r="B5210" s="2"/>
    </row>
    <row r="5211">
      <c r="B5211" s="2"/>
    </row>
    <row r="5212">
      <c r="B5212" s="2"/>
    </row>
    <row r="5213">
      <c r="B5213" s="2"/>
    </row>
    <row r="5214">
      <c r="B5214" s="2"/>
    </row>
    <row r="5215">
      <c r="B5215" s="2"/>
    </row>
    <row r="5216">
      <c r="B5216" s="2"/>
    </row>
    <row r="5217">
      <c r="B5217" s="2"/>
    </row>
    <row r="5218">
      <c r="B5218" s="2"/>
    </row>
    <row r="5219">
      <c r="B5219" s="2"/>
    </row>
    <row r="5220">
      <c r="B5220" s="2"/>
    </row>
    <row r="5221">
      <c r="B5221" s="2"/>
    </row>
    <row r="5222">
      <c r="B5222" s="2"/>
    </row>
    <row r="5223">
      <c r="B5223" s="2"/>
    </row>
    <row r="5224">
      <c r="B5224" s="2"/>
    </row>
    <row r="5225">
      <c r="B5225" s="2"/>
    </row>
    <row r="5226">
      <c r="B5226" s="2"/>
    </row>
    <row r="5227">
      <c r="B5227" s="2"/>
    </row>
    <row r="5228">
      <c r="B5228" s="2"/>
    </row>
    <row r="5229">
      <c r="B5229" s="2"/>
    </row>
    <row r="5230">
      <c r="B5230" s="2"/>
    </row>
    <row r="5231">
      <c r="B5231" s="2"/>
    </row>
    <row r="5232">
      <c r="B5232" s="2"/>
    </row>
    <row r="5233">
      <c r="B5233" s="2"/>
    </row>
    <row r="5234">
      <c r="B5234" s="2"/>
    </row>
    <row r="5235">
      <c r="B5235" s="2"/>
    </row>
    <row r="5236">
      <c r="B5236" s="2"/>
    </row>
    <row r="5237">
      <c r="B5237" s="2"/>
    </row>
    <row r="5238">
      <c r="B5238" s="2"/>
    </row>
    <row r="5239">
      <c r="B5239" s="2"/>
    </row>
    <row r="5240">
      <c r="B5240" s="2"/>
    </row>
    <row r="5241">
      <c r="B5241" s="2"/>
    </row>
    <row r="5242">
      <c r="B5242" s="2"/>
    </row>
    <row r="5243">
      <c r="B5243" s="2"/>
    </row>
    <row r="5244">
      <c r="B5244" s="2"/>
    </row>
    <row r="5245">
      <c r="B5245" s="2"/>
    </row>
    <row r="5246">
      <c r="B5246" s="2"/>
    </row>
    <row r="5247">
      <c r="B5247" s="2"/>
    </row>
    <row r="5248">
      <c r="B5248" s="2"/>
    </row>
    <row r="5249">
      <c r="B5249" s="2"/>
    </row>
    <row r="5250">
      <c r="B5250" s="2"/>
    </row>
    <row r="5251">
      <c r="B5251" s="2"/>
    </row>
    <row r="5252">
      <c r="B5252" s="2"/>
    </row>
    <row r="5253">
      <c r="B5253" s="2"/>
    </row>
    <row r="5254">
      <c r="B5254" s="2"/>
    </row>
    <row r="5255">
      <c r="B5255" s="2"/>
    </row>
    <row r="5256">
      <c r="B5256" s="2"/>
    </row>
    <row r="5257">
      <c r="B5257" s="2"/>
    </row>
    <row r="5258">
      <c r="B5258" s="2"/>
    </row>
    <row r="5259">
      <c r="B5259" s="2"/>
    </row>
    <row r="5260">
      <c r="B5260" s="2"/>
    </row>
    <row r="5261">
      <c r="B5261" s="2"/>
    </row>
    <row r="5262">
      <c r="B5262" s="2"/>
    </row>
    <row r="5263">
      <c r="B5263" s="2"/>
    </row>
    <row r="5264">
      <c r="B5264" s="2"/>
    </row>
    <row r="5265">
      <c r="B5265" s="2"/>
    </row>
    <row r="5266">
      <c r="B5266" s="2"/>
    </row>
    <row r="5267">
      <c r="B5267" s="2"/>
    </row>
    <row r="5268">
      <c r="B5268" s="2"/>
    </row>
    <row r="5269">
      <c r="B5269" s="2"/>
    </row>
    <row r="5270">
      <c r="B5270" s="2"/>
    </row>
    <row r="5271">
      <c r="B5271" s="2"/>
    </row>
    <row r="5272">
      <c r="B5272" s="2"/>
    </row>
    <row r="5273">
      <c r="B5273" s="2"/>
    </row>
    <row r="5274">
      <c r="B5274" s="2"/>
    </row>
    <row r="5275">
      <c r="B5275" s="2"/>
    </row>
    <row r="5276">
      <c r="B5276" s="2"/>
    </row>
    <row r="5277">
      <c r="B5277" s="2"/>
    </row>
    <row r="5278">
      <c r="B5278" s="2"/>
    </row>
    <row r="5279">
      <c r="B5279" s="2"/>
    </row>
    <row r="5280">
      <c r="B5280" s="2"/>
    </row>
    <row r="5281">
      <c r="B5281" s="2"/>
    </row>
    <row r="5282">
      <c r="B5282" s="2"/>
    </row>
    <row r="5283">
      <c r="B5283" s="2"/>
    </row>
    <row r="5284">
      <c r="B5284" s="2"/>
    </row>
    <row r="5285">
      <c r="B5285" s="2"/>
    </row>
    <row r="5286">
      <c r="B5286" s="2"/>
    </row>
    <row r="5287">
      <c r="B5287" s="2"/>
    </row>
    <row r="5288">
      <c r="B5288" s="2"/>
    </row>
    <row r="5289">
      <c r="B5289" s="2"/>
    </row>
    <row r="5290">
      <c r="B5290" s="2"/>
    </row>
    <row r="5291">
      <c r="B5291" s="2"/>
    </row>
    <row r="5292">
      <c r="B5292" s="2"/>
    </row>
    <row r="5293">
      <c r="B5293" s="2"/>
    </row>
    <row r="5294">
      <c r="B5294" s="2"/>
    </row>
    <row r="5295">
      <c r="B5295" s="2"/>
    </row>
    <row r="5296">
      <c r="B5296" s="2"/>
    </row>
    <row r="5297">
      <c r="B5297" s="2"/>
    </row>
    <row r="5298">
      <c r="B5298" s="2"/>
    </row>
    <row r="5299">
      <c r="B5299" s="2"/>
    </row>
    <row r="5300">
      <c r="B5300" s="2"/>
    </row>
    <row r="5301">
      <c r="B5301" s="2"/>
    </row>
    <row r="5302">
      <c r="B5302" s="2"/>
    </row>
    <row r="5303">
      <c r="B5303" s="2"/>
    </row>
    <row r="5304">
      <c r="B5304" s="2"/>
    </row>
    <row r="5305">
      <c r="B5305" s="2"/>
    </row>
    <row r="5306">
      <c r="B5306" s="2"/>
    </row>
    <row r="5307">
      <c r="B5307" s="2"/>
    </row>
    <row r="5308">
      <c r="B5308" s="2"/>
    </row>
    <row r="5309">
      <c r="B5309" s="2"/>
    </row>
    <row r="5310">
      <c r="B5310" s="2"/>
    </row>
    <row r="5311">
      <c r="B5311" s="2"/>
    </row>
    <row r="5312">
      <c r="B5312" s="2"/>
    </row>
    <row r="5313">
      <c r="B5313" s="2"/>
    </row>
    <row r="5314">
      <c r="B5314" s="2"/>
    </row>
    <row r="5315">
      <c r="B5315" s="2"/>
    </row>
    <row r="5316">
      <c r="B5316" s="2"/>
    </row>
    <row r="5317">
      <c r="B5317" s="2"/>
    </row>
    <row r="5318">
      <c r="B5318" s="2"/>
    </row>
    <row r="5319">
      <c r="B5319" s="2"/>
    </row>
    <row r="5320">
      <c r="B5320" s="2"/>
    </row>
    <row r="5321">
      <c r="B5321" s="2"/>
    </row>
    <row r="5322">
      <c r="B5322" s="2"/>
    </row>
    <row r="5323">
      <c r="B5323" s="2"/>
    </row>
    <row r="5324">
      <c r="B5324" s="2"/>
    </row>
    <row r="5325">
      <c r="B5325" s="2"/>
    </row>
    <row r="5326">
      <c r="B5326" s="2"/>
    </row>
    <row r="5327">
      <c r="B5327" s="2"/>
    </row>
    <row r="5328">
      <c r="B5328" s="2"/>
    </row>
    <row r="5329">
      <c r="B5329" s="2"/>
    </row>
    <row r="5330">
      <c r="B5330" s="2"/>
    </row>
    <row r="5331">
      <c r="B5331" s="2"/>
    </row>
    <row r="5332">
      <c r="B5332" s="2"/>
    </row>
    <row r="5333">
      <c r="B5333" s="2"/>
    </row>
    <row r="5334">
      <c r="B5334" s="2"/>
    </row>
    <row r="5335">
      <c r="B5335" s="2"/>
    </row>
    <row r="5336">
      <c r="B5336" s="2"/>
    </row>
    <row r="5337">
      <c r="B5337" s="2"/>
    </row>
    <row r="5338">
      <c r="B5338" s="2"/>
    </row>
    <row r="5339">
      <c r="B5339" s="2"/>
    </row>
    <row r="5340">
      <c r="B5340" s="2"/>
    </row>
    <row r="5341">
      <c r="B5341" s="2"/>
    </row>
    <row r="5342">
      <c r="B5342" s="2"/>
    </row>
    <row r="5343">
      <c r="B5343" s="2"/>
    </row>
    <row r="5344">
      <c r="B5344" s="2"/>
    </row>
    <row r="5345">
      <c r="B5345" s="2"/>
    </row>
    <row r="5346">
      <c r="B5346" s="2"/>
    </row>
    <row r="5347">
      <c r="B5347" s="2"/>
    </row>
    <row r="5348">
      <c r="B5348" s="2"/>
    </row>
    <row r="5349">
      <c r="B5349" s="2"/>
    </row>
    <row r="5350">
      <c r="B5350" s="2"/>
    </row>
    <row r="5351">
      <c r="B5351" s="2"/>
    </row>
    <row r="5352">
      <c r="B5352" s="2"/>
    </row>
    <row r="5353">
      <c r="B5353" s="2"/>
    </row>
    <row r="5354">
      <c r="B5354" s="2"/>
    </row>
    <row r="5355">
      <c r="B5355" s="2"/>
    </row>
    <row r="5356">
      <c r="B5356" s="2"/>
    </row>
    <row r="5357">
      <c r="B5357" s="2"/>
    </row>
    <row r="5358">
      <c r="B5358" s="2"/>
    </row>
    <row r="5359">
      <c r="B5359" s="2"/>
    </row>
    <row r="5360">
      <c r="B5360" s="2"/>
    </row>
    <row r="5361">
      <c r="B5361" s="2"/>
    </row>
    <row r="5362">
      <c r="B5362" s="2"/>
    </row>
    <row r="5363">
      <c r="B5363" s="2"/>
    </row>
    <row r="5364">
      <c r="B5364" s="2"/>
    </row>
    <row r="5365">
      <c r="B5365" s="2"/>
    </row>
    <row r="5366">
      <c r="B5366" s="2"/>
    </row>
    <row r="5367">
      <c r="B5367" s="2"/>
    </row>
    <row r="5368">
      <c r="B5368" s="2"/>
    </row>
    <row r="5369">
      <c r="B5369" s="2"/>
    </row>
    <row r="5370">
      <c r="B5370" s="2"/>
    </row>
    <row r="5371">
      <c r="B5371" s="2"/>
    </row>
    <row r="5372">
      <c r="B5372" s="2"/>
    </row>
    <row r="5373">
      <c r="B5373" s="2"/>
    </row>
    <row r="5374">
      <c r="B5374" s="2"/>
    </row>
    <row r="5375">
      <c r="B5375" s="2"/>
    </row>
    <row r="5376">
      <c r="B5376" s="2"/>
    </row>
    <row r="5377">
      <c r="B5377" s="2"/>
    </row>
    <row r="5378">
      <c r="B5378" s="2"/>
    </row>
    <row r="5379">
      <c r="B5379" s="2"/>
    </row>
    <row r="5380">
      <c r="B5380" s="2"/>
    </row>
    <row r="5381">
      <c r="B5381" s="2"/>
    </row>
    <row r="5382">
      <c r="B5382" s="2"/>
    </row>
    <row r="5383">
      <c r="B5383" s="2"/>
    </row>
    <row r="5384">
      <c r="B5384" s="2"/>
    </row>
    <row r="5385">
      <c r="B5385" s="2"/>
    </row>
    <row r="5386">
      <c r="B5386" s="2"/>
    </row>
    <row r="5387">
      <c r="B5387" s="2"/>
    </row>
    <row r="5388">
      <c r="B5388" s="2"/>
    </row>
    <row r="5389">
      <c r="B5389" s="2"/>
    </row>
    <row r="5390">
      <c r="B5390" s="2"/>
    </row>
    <row r="5391">
      <c r="B5391" s="2"/>
    </row>
    <row r="5392">
      <c r="B5392" s="2"/>
    </row>
    <row r="5393">
      <c r="B5393" s="2"/>
    </row>
    <row r="5394">
      <c r="B5394" s="2"/>
    </row>
    <row r="5395">
      <c r="B5395" s="2"/>
    </row>
    <row r="5396">
      <c r="B5396" s="2"/>
    </row>
    <row r="5397">
      <c r="B5397" s="2"/>
    </row>
    <row r="5398">
      <c r="B5398" s="2"/>
    </row>
    <row r="5399">
      <c r="B5399" s="2"/>
    </row>
    <row r="5400">
      <c r="B5400" s="2"/>
    </row>
    <row r="5401">
      <c r="B5401" s="2"/>
    </row>
    <row r="5402">
      <c r="B5402" s="2"/>
    </row>
    <row r="5403">
      <c r="B5403" s="2"/>
    </row>
    <row r="5404">
      <c r="B5404" s="2"/>
    </row>
    <row r="5405">
      <c r="B5405" s="2"/>
    </row>
    <row r="5406">
      <c r="B5406" s="2"/>
    </row>
    <row r="5407">
      <c r="B5407" s="2"/>
    </row>
    <row r="5408">
      <c r="B5408" s="2"/>
    </row>
    <row r="5409">
      <c r="B5409" s="2"/>
    </row>
    <row r="5410">
      <c r="B5410" s="2"/>
    </row>
    <row r="5411">
      <c r="B5411" s="2"/>
    </row>
    <row r="5412">
      <c r="B5412" s="2"/>
    </row>
    <row r="5413">
      <c r="B5413" s="2"/>
    </row>
    <row r="5414">
      <c r="B5414" s="2"/>
    </row>
    <row r="5415">
      <c r="B5415" s="2"/>
    </row>
    <row r="5416">
      <c r="B5416" s="2"/>
    </row>
    <row r="5417">
      <c r="B5417" s="2"/>
    </row>
    <row r="5418">
      <c r="B5418" s="2"/>
    </row>
    <row r="5419">
      <c r="B5419" s="2"/>
    </row>
    <row r="5420">
      <c r="B5420" s="2"/>
    </row>
    <row r="5421">
      <c r="B5421" s="2"/>
    </row>
    <row r="5422">
      <c r="B5422" s="2"/>
    </row>
    <row r="5423">
      <c r="B5423" s="2"/>
    </row>
    <row r="5424">
      <c r="B5424" s="2"/>
    </row>
    <row r="5425">
      <c r="B5425" s="2"/>
    </row>
    <row r="5426">
      <c r="B5426" s="2"/>
    </row>
    <row r="5427">
      <c r="B5427" s="2"/>
    </row>
    <row r="5428">
      <c r="B5428" s="2"/>
    </row>
    <row r="5429">
      <c r="B5429" s="2"/>
    </row>
    <row r="5430">
      <c r="B5430" s="2"/>
    </row>
    <row r="5431">
      <c r="B5431" s="2"/>
    </row>
    <row r="5432">
      <c r="B5432" s="2"/>
    </row>
    <row r="5433">
      <c r="B5433" s="2"/>
    </row>
    <row r="5434">
      <c r="B5434" s="2"/>
    </row>
    <row r="5435">
      <c r="B5435" s="2"/>
    </row>
    <row r="5436">
      <c r="B5436" s="2"/>
    </row>
    <row r="5437">
      <c r="B5437" s="2"/>
    </row>
    <row r="5438">
      <c r="B5438" s="2"/>
    </row>
    <row r="5439">
      <c r="B5439" s="2"/>
    </row>
    <row r="5440">
      <c r="B5440" s="2"/>
    </row>
    <row r="5441">
      <c r="B5441" s="2"/>
    </row>
    <row r="5442">
      <c r="B5442" s="2"/>
    </row>
    <row r="5443">
      <c r="B5443" s="2"/>
    </row>
    <row r="5444">
      <c r="B5444" s="2"/>
    </row>
    <row r="5445">
      <c r="B5445" s="2"/>
    </row>
    <row r="5446">
      <c r="B5446" s="2"/>
    </row>
    <row r="5447">
      <c r="B5447" s="2"/>
    </row>
    <row r="5448">
      <c r="B5448" s="2"/>
    </row>
    <row r="5449">
      <c r="B5449" s="2"/>
    </row>
    <row r="5450">
      <c r="B5450" s="2"/>
    </row>
    <row r="5451">
      <c r="B5451" s="2"/>
    </row>
    <row r="5452">
      <c r="B5452" s="2"/>
    </row>
    <row r="5453">
      <c r="B5453" s="2"/>
    </row>
    <row r="5454">
      <c r="B5454" s="2"/>
    </row>
    <row r="5455">
      <c r="B5455" s="2"/>
    </row>
    <row r="5456">
      <c r="B5456" s="2"/>
    </row>
    <row r="5457">
      <c r="B5457" s="2"/>
    </row>
    <row r="5458">
      <c r="B5458" s="2"/>
    </row>
    <row r="5459">
      <c r="B5459" s="2"/>
    </row>
    <row r="5460">
      <c r="B5460" s="2"/>
    </row>
    <row r="5461">
      <c r="B5461" s="2"/>
    </row>
    <row r="5462">
      <c r="B5462" s="2"/>
    </row>
    <row r="5463">
      <c r="B5463" s="2"/>
    </row>
    <row r="5464">
      <c r="B5464" s="2"/>
    </row>
    <row r="5465">
      <c r="B5465" s="2"/>
    </row>
    <row r="5466">
      <c r="B5466" s="2"/>
    </row>
    <row r="5467">
      <c r="B5467" s="2"/>
    </row>
    <row r="5468">
      <c r="B5468" s="2"/>
    </row>
    <row r="5469">
      <c r="B5469" s="2"/>
    </row>
    <row r="5470">
      <c r="B5470" s="2"/>
    </row>
    <row r="5471">
      <c r="B5471" s="2"/>
    </row>
    <row r="5472">
      <c r="B5472" s="2"/>
    </row>
    <row r="5473">
      <c r="B5473" s="2"/>
    </row>
    <row r="5474">
      <c r="B5474" s="2"/>
    </row>
    <row r="5475">
      <c r="B5475" s="2"/>
    </row>
    <row r="5476">
      <c r="B5476" s="2"/>
    </row>
    <row r="5477">
      <c r="B5477" s="2"/>
    </row>
    <row r="5478">
      <c r="B5478" s="2"/>
    </row>
    <row r="5479">
      <c r="B5479" s="2"/>
    </row>
    <row r="5480">
      <c r="B5480" s="2"/>
    </row>
    <row r="5481">
      <c r="B5481" s="2"/>
    </row>
    <row r="5482">
      <c r="B5482" s="2"/>
    </row>
    <row r="5483">
      <c r="B5483" s="2"/>
    </row>
    <row r="5484">
      <c r="B5484" s="2"/>
    </row>
    <row r="5485">
      <c r="B5485" s="2"/>
    </row>
    <row r="5486">
      <c r="B5486" s="2"/>
    </row>
    <row r="5487">
      <c r="B5487" s="2"/>
    </row>
    <row r="5488">
      <c r="B5488" s="2"/>
    </row>
    <row r="5489">
      <c r="B5489" s="2"/>
    </row>
    <row r="5490">
      <c r="B5490" s="2"/>
    </row>
    <row r="5491">
      <c r="B5491" s="2"/>
    </row>
    <row r="5492">
      <c r="B5492" s="2"/>
    </row>
    <row r="5493">
      <c r="B5493" s="2"/>
    </row>
    <row r="5494">
      <c r="B5494" s="2"/>
    </row>
    <row r="5495">
      <c r="B5495" s="2"/>
    </row>
    <row r="5496">
      <c r="B5496" s="2"/>
    </row>
    <row r="5497">
      <c r="B5497" s="2"/>
    </row>
    <row r="5498">
      <c r="B5498" s="2"/>
    </row>
    <row r="5499">
      <c r="B5499" s="2"/>
    </row>
    <row r="5500">
      <c r="B5500" s="2"/>
    </row>
    <row r="5501">
      <c r="B5501" s="2"/>
    </row>
    <row r="5502">
      <c r="B5502" s="2"/>
    </row>
    <row r="5503">
      <c r="B5503" s="2"/>
    </row>
    <row r="5504">
      <c r="B5504" s="2"/>
    </row>
    <row r="5505">
      <c r="B5505" s="2"/>
    </row>
    <row r="5506">
      <c r="B5506" s="2"/>
    </row>
    <row r="5507">
      <c r="B5507" s="2"/>
    </row>
    <row r="5508">
      <c r="B5508" s="2"/>
    </row>
    <row r="5509">
      <c r="B5509" s="2"/>
    </row>
    <row r="5510">
      <c r="B5510" s="2"/>
    </row>
    <row r="5511">
      <c r="B5511" s="2"/>
    </row>
    <row r="5512">
      <c r="B5512" s="2"/>
    </row>
    <row r="5513">
      <c r="B5513" s="2"/>
    </row>
    <row r="5514">
      <c r="B5514" s="2"/>
    </row>
    <row r="5515">
      <c r="B5515" s="2"/>
    </row>
    <row r="5516">
      <c r="B5516" s="2"/>
    </row>
    <row r="5517">
      <c r="B5517" s="2"/>
    </row>
    <row r="5518">
      <c r="B5518" s="2"/>
    </row>
    <row r="5519">
      <c r="B5519" s="2"/>
    </row>
    <row r="5520">
      <c r="B5520" s="2"/>
    </row>
    <row r="5521">
      <c r="B5521" s="2"/>
    </row>
    <row r="5522">
      <c r="B5522" s="2"/>
    </row>
    <row r="5523">
      <c r="B5523" s="2"/>
    </row>
    <row r="5524">
      <c r="B5524" s="2"/>
    </row>
    <row r="5525">
      <c r="B5525" s="2"/>
    </row>
    <row r="5526">
      <c r="B5526" s="2"/>
    </row>
    <row r="5527">
      <c r="B5527" s="2"/>
    </row>
    <row r="5528">
      <c r="B5528" s="2"/>
    </row>
    <row r="5529">
      <c r="B5529" s="2"/>
    </row>
    <row r="5530">
      <c r="B5530" s="2"/>
    </row>
    <row r="5531">
      <c r="B5531" s="2"/>
    </row>
    <row r="5532">
      <c r="B5532" s="2"/>
    </row>
    <row r="5533">
      <c r="B5533" s="2"/>
    </row>
    <row r="5534">
      <c r="B5534" s="2"/>
    </row>
    <row r="5535">
      <c r="B5535" s="2"/>
    </row>
    <row r="5536">
      <c r="B5536" s="2"/>
    </row>
    <row r="5537">
      <c r="B5537" s="2"/>
    </row>
    <row r="5538">
      <c r="B5538" s="2"/>
    </row>
    <row r="5539">
      <c r="B5539" s="2"/>
    </row>
    <row r="5540">
      <c r="B5540" s="2"/>
    </row>
    <row r="5541">
      <c r="B5541" s="2"/>
    </row>
    <row r="5542">
      <c r="B5542" s="2"/>
    </row>
    <row r="5543">
      <c r="B5543" s="2"/>
    </row>
    <row r="5544">
      <c r="B5544" s="2"/>
    </row>
    <row r="5545">
      <c r="B5545" s="2"/>
    </row>
    <row r="5546">
      <c r="B5546" s="2"/>
    </row>
    <row r="5547">
      <c r="B5547" s="2"/>
    </row>
    <row r="5548">
      <c r="B5548" s="2"/>
    </row>
    <row r="5549">
      <c r="B5549" s="2"/>
    </row>
    <row r="5550">
      <c r="B5550" s="2"/>
    </row>
    <row r="5551">
      <c r="B5551" s="2"/>
    </row>
    <row r="5552">
      <c r="B5552" s="2"/>
    </row>
    <row r="5553">
      <c r="B5553" s="2"/>
    </row>
    <row r="5554">
      <c r="B5554" s="2"/>
    </row>
    <row r="5555">
      <c r="B5555" s="2"/>
    </row>
    <row r="5556">
      <c r="B5556" s="2"/>
    </row>
    <row r="5557">
      <c r="B5557" s="2"/>
    </row>
    <row r="5558">
      <c r="B5558" s="2"/>
    </row>
    <row r="5559">
      <c r="B5559" s="2"/>
    </row>
    <row r="5560">
      <c r="B5560" s="2"/>
    </row>
    <row r="5561">
      <c r="B5561" s="2"/>
    </row>
    <row r="5562">
      <c r="B5562" s="2"/>
    </row>
    <row r="5563">
      <c r="B5563" s="2"/>
    </row>
    <row r="5564">
      <c r="B5564" s="2"/>
    </row>
    <row r="5565">
      <c r="B5565" s="2"/>
    </row>
    <row r="5566">
      <c r="B5566" s="2"/>
    </row>
    <row r="5567">
      <c r="B5567" s="2"/>
    </row>
    <row r="5568">
      <c r="B5568" s="2"/>
    </row>
    <row r="5569">
      <c r="B5569" s="2"/>
    </row>
    <row r="5570">
      <c r="B5570" s="2"/>
    </row>
    <row r="5571">
      <c r="B5571" s="2"/>
    </row>
    <row r="5572">
      <c r="B5572" s="2"/>
    </row>
    <row r="5573">
      <c r="B5573" s="2"/>
    </row>
    <row r="5574">
      <c r="B5574" s="2"/>
    </row>
    <row r="5575">
      <c r="B5575" s="2"/>
    </row>
    <row r="5576">
      <c r="B5576" s="2"/>
    </row>
    <row r="5577">
      <c r="B5577" s="2"/>
    </row>
    <row r="5578">
      <c r="B5578" s="2"/>
    </row>
    <row r="5579">
      <c r="B5579" s="2"/>
    </row>
    <row r="5580">
      <c r="B5580" s="2"/>
    </row>
    <row r="5581">
      <c r="B5581" s="2"/>
    </row>
    <row r="5582">
      <c r="B5582" s="2"/>
    </row>
    <row r="5583">
      <c r="B5583" s="2"/>
    </row>
    <row r="5584">
      <c r="B5584" s="2"/>
    </row>
    <row r="5585">
      <c r="B5585" s="2"/>
    </row>
    <row r="5586">
      <c r="B5586" s="2"/>
    </row>
    <row r="5587">
      <c r="B5587" s="2"/>
    </row>
    <row r="5588">
      <c r="B5588" s="2"/>
    </row>
    <row r="5589">
      <c r="B5589" s="2"/>
    </row>
    <row r="5590">
      <c r="B5590" s="2"/>
    </row>
    <row r="5591">
      <c r="B5591" s="2"/>
    </row>
    <row r="5592">
      <c r="B5592" s="2"/>
    </row>
    <row r="5593">
      <c r="B5593" s="2"/>
    </row>
    <row r="5594">
      <c r="B5594" s="2"/>
    </row>
    <row r="5595">
      <c r="B5595" s="2"/>
    </row>
    <row r="5596">
      <c r="B5596" s="2"/>
    </row>
    <row r="5597">
      <c r="B5597" s="2"/>
    </row>
    <row r="5598">
      <c r="B5598" s="2"/>
    </row>
    <row r="5599">
      <c r="B5599" s="2"/>
    </row>
    <row r="5600">
      <c r="B5600" s="2"/>
    </row>
    <row r="5601">
      <c r="B5601" s="2"/>
    </row>
    <row r="5602">
      <c r="B5602" s="2"/>
    </row>
    <row r="5603">
      <c r="B5603" s="2"/>
    </row>
    <row r="5604">
      <c r="B5604" s="2"/>
    </row>
    <row r="5605">
      <c r="B5605" s="2"/>
    </row>
    <row r="5606">
      <c r="B5606" s="2"/>
    </row>
    <row r="5607">
      <c r="B5607" s="2"/>
    </row>
    <row r="5608">
      <c r="B5608" s="2"/>
    </row>
    <row r="5609">
      <c r="B5609" s="2"/>
    </row>
    <row r="5610">
      <c r="B5610" s="2"/>
    </row>
    <row r="5611">
      <c r="B5611" s="2"/>
    </row>
    <row r="5612">
      <c r="B5612" s="2"/>
    </row>
    <row r="5613">
      <c r="B5613" s="2"/>
    </row>
    <row r="5614">
      <c r="B5614" s="2"/>
    </row>
    <row r="5615">
      <c r="B5615" s="2"/>
    </row>
    <row r="5616">
      <c r="B5616" s="2"/>
    </row>
    <row r="5617">
      <c r="B5617" s="2"/>
    </row>
    <row r="5618">
      <c r="B5618" s="2"/>
    </row>
    <row r="5619">
      <c r="B5619" s="2"/>
    </row>
    <row r="5620">
      <c r="B5620" s="2"/>
    </row>
    <row r="5621">
      <c r="B5621" s="2"/>
    </row>
    <row r="5622">
      <c r="B5622" s="2"/>
    </row>
    <row r="5623">
      <c r="B5623" s="2"/>
    </row>
    <row r="5624">
      <c r="B5624" s="2"/>
    </row>
    <row r="5625">
      <c r="B5625" s="2"/>
    </row>
    <row r="5626">
      <c r="B5626" s="2"/>
    </row>
    <row r="5627">
      <c r="B5627" s="2"/>
    </row>
    <row r="5628">
      <c r="B5628" s="2"/>
    </row>
    <row r="5629">
      <c r="B5629" s="2"/>
    </row>
    <row r="5630">
      <c r="B5630" s="2"/>
    </row>
    <row r="5631">
      <c r="B5631" s="2"/>
    </row>
    <row r="5632">
      <c r="B5632" s="2"/>
    </row>
    <row r="5633">
      <c r="B5633" s="2"/>
    </row>
    <row r="5634">
      <c r="B5634" s="2"/>
    </row>
    <row r="5635">
      <c r="B5635" s="2"/>
    </row>
    <row r="5636">
      <c r="B5636" s="2"/>
    </row>
    <row r="5637">
      <c r="B5637" s="2"/>
    </row>
    <row r="5638">
      <c r="B5638" s="2"/>
    </row>
    <row r="5639">
      <c r="B5639" s="2"/>
    </row>
    <row r="5640">
      <c r="B5640" s="2"/>
    </row>
    <row r="5641">
      <c r="B5641" s="2"/>
    </row>
    <row r="5642">
      <c r="B5642" s="2"/>
    </row>
    <row r="5643">
      <c r="B5643" s="2"/>
    </row>
    <row r="5644">
      <c r="B5644" s="2"/>
    </row>
    <row r="5645">
      <c r="B5645" s="2"/>
    </row>
    <row r="5646">
      <c r="B5646" s="2"/>
    </row>
    <row r="5647">
      <c r="B5647" s="2"/>
    </row>
    <row r="5648">
      <c r="B5648" s="2"/>
    </row>
    <row r="5649">
      <c r="B5649" s="2"/>
    </row>
    <row r="5650">
      <c r="B5650" s="2"/>
    </row>
    <row r="5651">
      <c r="B5651" s="2"/>
    </row>
    <row r="5652">
      <c r="B5652" s="2"/>
    </row>
    <row r="5653">
      <c r="B5653" s="2"/>
    </row>
    <row r="5654">
      <c r="B5654" s="2"/>
    </row>
    <row r="5655">
      <c r="B5655" s="2"/>
    </row>
    <row r="5656">
      <c r="B5656" s="2"/>
    </row>
    <row r="5657">
      <c r="B5657" s="2"/>
    </row>
    <row r="5658">
      <c r="B5658" s="2"/>
    </row>
    <row r="5659">
      <c r="B5659" s="2"/>
    </row>
    <row r="5660">
      <c r="B5660" s="2"/>
    </row>
    <row r="5661">
      <c r="B5661" s="2"/>
    </row>
    <row r="5662">
      <c r="B5662" s="2"/>
    </row>
    <row r="5663">
      <c r="B5663" s="2"/>
    </row>
    <row r="5664">
      <c r="B5664" s="2"/>
    </row>
    <row r="5665">
      <c r="B5665" s="2"/>
    </row>
    <row r="5666">
      <c r="B5666" s="2"/>
    </row>
    <row r="5667">
      <c r="B5667" s="2"/>
    </row>
    <row r="5668">
      <c r="B5668" s="2"/>
    </row>
    <row r="5669">
      <c r="B5669" s="2"/>
    </row>
    <row r="5670">
      <c r="B5670" s="2"/>
    </row>
    <row r="5671">
      <c r="B5671" s="2"/>
    </row>
    <row r="5672">
      <c r="B5672" s="2"/>
    </row>
    <row r="5673">
      <c r="B5673" s="2"/>
    </row>
    <row r="5674">
      <c r="B5674" s="2"/>
    </row>
    <row r="5675">
      <c r="B5675" s="2"/>
    </row>
    <row r="5676">
      <c r="B5676" s="2"/>
    </row>
    <row r="5677">
      <c r="B5677" s="2"/>
    </row>
    <row r="5678">
      <c r="B5678" s="2"/>
    </row>
    <row r="5679">
      <c r="B5679" s="2"/>
    </row>
    <row r="5680">
      <c r="B5680" s="2"/>
    </row>
    <row r="5681">
      <c r="B5681" s="2"/>
    </row>
    <row r="5682">
      <c r="B5682" s="2"/>
    </row>
    <row r="5683">
      <c r="B5683" s="2"/>
    </row>
    <row r="5684">
      <c r="B5684" s="2"/>
    </row>
    <row r="5685">
      <c r="B5685" s="2"/>
    </row>
    <row r="5686">
      <c r="B5686" s="2"/>
    </row>
    <row r="5687">
      <c r="B5687" s="2"/>
    </row>
    <row r="5688">
      <c r="B5688" s="2"/>
    </row>
    <row r="5689">
      <c r="B5689" s="2"/>
    </row>
    <row r="5690">
      <c r="B5690" s="2"/>
    </row>
    <row r="5691">
      <c r="B5691" s="2"/>
    </row>
    <row r="5692">
      <c r="B5692" s="2"/>
    </row>
    <row r="5693">
      <c r="B5693" s="2"/>
    </row>
    <row r="5694">
      <c r="B5694" s="2"/>
    </row>
    <row r="5695">
      <c r="B5695" s="2"/>
    </row>
    <row r="5696">
      <c r="B5696" s="2"/>
    </row>
    <row r="5697">
      <c r="B5697" s="2"/>
    </row>
    <row r="5698">
      <c r="B5698" s="2"/>
    </row>
    <row r="5699">
      <c r="B5699" s="2"/>
    </row>
    <row r="5700">
      <c r="B5700" s="2"/>
    </row>
    <row r="5701">
      <c r="B5701" s="2"/>
    </row>
    <row r="5702">
      <c r="B5702" s="2"/>
    </row>
    <row r="5703">
      <c r="B5703" s="2"/>
    </row>
    <row r="5704">
      <c r="B5704" s="2"/>
    </row>
    <row r="5705">
      <c r="B5705" s="2"/>
    </row>
    <row r="5706">
      <c r="B5706" s="2"/>
    </row>
    <row r="5707">
      <c r="B5707" s="2"/>
    </row>
    <row r="5708">
      <c r="B5708" s="2"/>
    </row>
    <row r="5709">
      <c r="B5709" s="2"/>
    </row>
    <row r="5710">
      <c r="B5710" s="2"/>
    </row>
    <row r="5711">
      <c r="B5711" s="2"/>
    </row>
    <row r="5712">
      <c r="B5712" s="2"/>
    </row>
    <row r="5713">
      <c r="B5713" s="2"/>
    </row>
    <row r="5714">
      <c r="B5714" s="2"/>
    </row>
    <row r="5715">
      <c r="B5715" s="2"/>
    </row>
    <row r="5716">
      <c r="B5716" s="2"/>
    </row>
    <row r="5717">
      <c r="B5717" s="2"/>
    </row>
    <row r="5718">
      <c r="B5718" s="2"/>
    </row>
    <row r="5719">
      <c r="B5719" s="2"/>
    </row>
    <row r="5720">
      <c r="B5720" s="2"/>
    </row>
    <row r="5721">
      <c r="B5721" s="2"/>
    </row>
    <row r="5722">
      <c r="B5722" s="2"/>
    </row>
    <row r="5723">
      <c r="B5723" s="2"/>
    </row>
    <row r="5724">
      <c r="B5724" s="2"/>
    </row>
    <row r="5725">
      <c r="B5725" s="2"/>
    </row>
    <row r="5726">
      <c r="B5726" s="2"/>
    </row>
    <row r="5727">
      <c r="B5727" s="2"/>
    </row>
    <row r="5728">
      <c r="B5728" s="2"/>
    </row>
    <row r="5729">
      <c r="B5729" s="2"/>
    </row>
    <row r="5730">
      <c r="B5730" s="2"/>
    </row>
    <row r="5731">
      <c r="B5731" s="2"/>
    </row>
    <row r="5732">
      <c r="B5732" s="2"/>
    </row>
    <row r="5733">
      <c r="B5733" s="2"/>
    </row>
    <row r="5734">
      <c r="B5734" s="2"/>
    </row>
    <row r="5735">
      <c r="B5735" s="2"/>
    </row>
    <row r="5736">
      <c r="B5736" s="2"/>
    </row>
    <row r="5737">
      <c r="B5737" s="2"/>
    </row>
    <row r="5738">
      <c r="B5738" s="2"/>
    </row>
    <row r="5739">
      <c r="B5739" s="2"/>
    </row>
    <row r="5740">
      <c r="B5740" s="2"/>
    </row>
    <row r="5741">
      <c r="B5741" s="2"/>
    </row>
    <row r="5742">
      <c r="B5742" s="2"/>
    </row>
    <row r="5743">
      <c r="B5743" s="2"/>
    </row>
    <row r="5744">
      <c r="B5744" s="2"/>
    </row>
    <row r="5745">
      <c r="B5745" s="2"/>
    </row>
    <row r="5746">
      <c r="B5746" s="2"/>
    </row>
    <row r="5747">
      <c r="B5747" s="2"/>
    </row>
    <row r="5748">
      <c r="B5748" s="2"/>
    </row>
    <row r="5749">
      <c r="B5749" s="2"/>
    </row>
    <row r="5750">
      <c r="B5750" s="2"/>
    </row>
    <row r="5751">
      <c r="B5751" s="2"/>
    </row>
    <row r="5752">
      <c r="B5752" s="2"/>
    </row>
    <row r="5753">
      <c r="B5753" s="2"/>
    </row>
    <row r="5754">
      <c r="B5754" s="2"/>
    </row>
    <row r="5755">
      <c r="B5755" s="2"/>
    </row>
    <row r="5756">
      <c r="B5756" s="2"/>
    </row>
    <row r="5757">
      <c r="B5757" s="2"/>
    </row>
    <row r="5758">
      <c r="B5758" s="2"/>
    </row>
    <row r="5759">
      <c r="B5759" s="2"/>
    </row>
    <row r="5760">
      <c r="B5760" s="2"/>
    </row>
    <row r="5761">
      <c r="B5761" s="2"/>
    </row>
    <row r="5762">
      <c r="B5762" s="2"/>
    </row>
    <row r="5763">
      <c r="B5763" s="2"/>
    </row>
    <row r="5764">
      <c r="B5764" s="2"/>
    </row>
    <row r="5765">
      <c r="B5765" s="2"/>
    </row>
    <row r="5766">
      <c r="B5766" s="2"/>
    </row>
    <row r="5767">
      <c r="B5767" s="2"/>
    </row>
    <row r="5768">
      <c r="B5768" s="2"/>
    </row>
    <row r="5769">
      <c r="B5769" s="2"/>
    </row>
    <row r="5770">
      <c r="B5770" s="2"/>
    </row>
    <row r="5771">
      <c r="B5771" s="2"/>
    </row>
    <row r="5772">
      <c r="B5772" s="2"/>
    </row>
    <row r="5773">
      <c r="B5773" s="2"/>
    </row>
    <row r="5774">
      <c r="B5774" s="2"/>
    </row>
    <row r="5775">
      <c r="B5775" s="2"/>
    </row>
    <row r="5776">
      <c r="B5776" s="2"/>
    </row>
    <row r="5777">
      <c r="B5777" s="2"/>
    </row>
    <row r="5778">
      <c r="B5778" s="2"/>
    </row>
    <row r="5779">
      <c r="B5779" s="2"/>
    </row>
    <row r="5780">
      <c r="B5780" s="2"/>
    </row>
    <row r="5781">
      <c r="B5781" s="2"/>
    </row>
    <row r="5782">
      <c r="B5782" s="2"/>
    </row>
    <row r="5783">
      <c r="B5783" s="2"/>
    </row>
    <row r="5784">
      <c r="B5784" s="2"/>
    </row>
    <row r="5785">
      <c r="B5785" s="2"/>
    </row>
    <row r="5786">
      <c r="B5786" s="2"/>
    </row>
    <row r="5787">
      <c r="B5787" s="2"/>
    </row>
    <row r="5788">
      <c r="B5788" s="2"/>
    </row>
    <row r="5789">
      <c r="B5789" s="2"/>
    </row>
    <row r="5790">
      <c r="B5790" s="2"/>
    </row>
    <row r="5791">
      <c r="B5791" s="2"/>
    </row>
    <row r="5792">
      <c r="B5792" s="2"/>
    </row>
    <row r="5793">
      <c r="B5793" s="2"/>
    </row>
    <row r="5794">
      <c r="B5794" s="2"/>
    </row>
    <row r="5795">
      <c r="B5795" s="2"/>
    </row>
    <row r="5796">
      <c r="B5796" s="2"/>
    </row>
    <row r="5797">
      <c r="B5797" s="2"/>
    </row>
    <row r="5798">
      <c r="B5798" s="2"/>
    </row>
    <row r="5799">
      <c r="B5799" s="2"/>
    </row>
    <row r="5800">
      <c r="B5800" s="2"/>
    </row>
    <row r="5801">
      <c r="B5801" s="2"/>
    </row>
    <row r="5802">
      <c r="B5802" s="2"/>
    </row>
    <row r="5803">
      <c r="B5803" s="2"/>
    </row>
    <row r="5804">
      <c r="B5804" s="2"/>
    </row>
    <row r="5805">
      <c r="B5805" s="2"/>
    </row>
    <row r="5806">
      <c r="B5806" s="2"/>
    </row>
    <row r="5807">
      <c r="B5807" s="2"/>
    </row>
    <row r="5808">
      <c r="B5808" s="2"/>
    </row>
    <row r="5809">
      <c r="B5809" s="2"/>
    </row>
    <row r="5810">
      <c r="B5810" s="2"/>
    </row>
    <row r="5811">
      <c r="B5811" s="2"/>
    </row>
    <row r="5812">
      <c r="B5812" s="2"/>
    </row>
    <row r="5813">
      <c r="B5813" s="2"/>
    </row>
    <row r="5814">
      <c r="B5814" s="2"/>
    </row>
    <row r="5815">
      <c r="B5815" s="2"/>
    </row>
    <row r="5816">
      <c r="B5816" s="2"/>
    </row>
    <row r="5817">
      <c r="B5817" s="2"/>
    </row>
    <row r="5818">
      <c r="B5818" s="2"/>
    </row>
    <row r="5819">
      <c r="B5819" s="2"/>
    </row>
    <row r="5820">
      <c r="B5820" s="2"/>
    </row>
    <row r="5821">
      <c r="B5821" s="2"/>
    </row>
    <row r="5822">
      <c r="B5822" s="2"/>
    </row>
    <row r="5823">
      <c r="B5823" s="2"/>
    </row>
    <row r="5824">
      <c r="B5824" s="2"/>
    </row>
    <row r="5825">
      <c r="B5825" s="2"/>
    </row>
    <row r="5826">
      <c r="B5826" s="2"/>
    </row>
    <row r="5827">
      <c r="B5827" s="2"/>
    </row>
    <row r="5828">
      <c r="B5828" s="2"/>
    </row>
    <row r="5829">
      <c r="B5829" s="2"/>
    </row>
    <row r="5830">
      <c r="B5830" s="2"/>
    </row>
    <row r="5831">
      <c r="B5831" s="2"/>
    </row>
    <row r="5832">
      <c r="B5832" s="2"/>
    </row>
    <row r="5833">
      <c r="B5833" s="2"/>
    </row>
    <row r="5834">
      <c r="B5834" s="2"/>
    </row>
    <row r="5835">
      <c r="B5835" s="2"/>
    </row>
    <row r="5836">
      <c r="B5836" s="2"/>
    </row>
    <row r="5837">
      <c r="B5837" s="2"/>
    </row>
    <row r="5838">
      <c r="B5838" s="2"/>
    </row>
    <row r="5839">
      <c r="B5839" s="2"/>
    </row>
    <row r="5840">
      <c r="B5840" s="2"/>
    </row>
    <row r="5841">
      <c r="B5841" s="2"/>
    </row>
    <row r="5842">
      <c r="B5842" s="2"/>
    </row>
    <row r="5843">
      <c r="B5843" s="2"/>
    </row>
    <row r="5844">
      <c r="B5844" s="2"/>
    </row>
    <row r="5845">
      <c r="B5845" s="2"/>
    </row>
    <row r="5846">
      <c r="B5846" s="2"/>
    </row>
    <row r="5847">
      <c r="B5847" s="2"/>
    </row>
    <row r="5848">
      <c r="B5848" s="2"/>
    </row>
    <row r="5849">
      <c r="B5849" s="2"/>
    </row>
    <row r="5850">
      <c r="B5850" s="2"/>
    </row>
    <row r="5851">
      <c r="B5851" s="2"/>
    </row>
    <row r="5852">
      <c r="B5852" s="2"/>
    </row>
    <row r="5853">
      <c r="B5853" s="2"/>
    </row>
    <row r="5854">
      <c r="B5854" s="2"/>
    </row>
    <row r="5855">
      <c r="B5855" s="2"/>
    </row>
    <row r="5856">
      <c r="B5856" s="2"/>
    </row>
    <row r="5857">
      <c r="B5857" s="2"/>
    </row>
    <row r="5858">
      <c r="B5858" s="2"/>
    </row>
    <row r="5859">
      <c r="B5859" s="2"/>
    </row>
    <row r="5860">
      <c r="B5860" s="2"/>
    </row>
    <row r="5861">
      <c r="B5861" s="2"/>
    </row>
    <row r="5862">
      <c r="B5862" s="2"/>
    </row>
    <row r="5863">
      <c r="B5863" s="2"/>
    </row>
    <row r="5864">
      <c r="B5864" s="2"/>
    </row>
    <row r="5865">
      <c r="B5865" s="2"/>
    </row>
    <row r="5866">
      <c r="B5866" s="2"/>
    </row>
    <row r="5867">
      <c r="B5867" s="2"/>
    </row>
    <row r="5868">
      <c r="B5868" s="2"/>
    </row>
    <row r="5869">
      <c r="B5869" s="2"/>
    </row>
    <row r="5870">
      <c r="B5870" s="2"/>
    </row>
    <row r="5871">
      <c r="B5871" s="2"/>
    </row>
    <row r="5872">
      <c r="B5872" s="2"/>
    </row>
    <row r="5873">
      <c r="B5873" s="2"/>
    </row>
    <row r="5874">
      <c r="B5874" s="2"/>
    </row>
    <row r="5875">
      <c r="B5875" s="2"/>
    </row>
    <row r="5876">
      <c r="B5876" s="2"/>
    </row>
    <row r="5877">
      <c r="B5877" s="2"/>
    </row>
    <row r="5878">
      <c r="B5878" s="2"/>
    </row>
    <row r="5879">
      <c r="B5879" s="2"/>
    </row>
    <row r="5880">
      <c r="B5880" s="2"/>
    </row>
    <row r="5881">
      <c r="B5881" s="2"/>
    </row>
    <row r="5882">
      <c r="B5882" s="2"/>
    </row>
    <row r="5883">
      <c r="B5883" s="2"/>
    </row>
    <row r="5884">
      <c r="B5884" s="2"/>
    </row>
    <row r="5885">
      <c r="B5885" s="2"/>
    </row>
    <row r="5886">
      <c r="B5886" s="2"/>
    </row>
    <row r="5887">
      <c r="B5887" s="2"/>
    </row>
    <row r="5888">
      <c r="B5888" s="2"/>
    </row>
    <row r="5889">
      <c r="B5889" s="2"/>
    </row>
    <row r="5890">
      <c r="B5890" s="2"/>
    </row>
    <row r="5891">
      <c r="B5891" s="2"/>
    </row>
    <row r="5892">
      <c r="B5892" s="2"/>
    </row>
    <row r="5893">
      <c r="B5893" s="2"/>
    </row>
    <row r="5894">
      <c r="B5894" s="2"/>
    </row>
    <row r="5895">
      <c r="B5895" s="2"/>
    </row>
    <row r="5896">
      <c r="B5896" s="2"/>
    </row>
    <row r="5897">
      <c r="B5897" s="2"/>
    </row>
    <row r="5898">
      <c r="B5898" s="2"/>
    </row>
    <row r="5899">
      <c r="B5899" s="2"/>
    </row>
    <row r="5900">
      <c r="B5900" s="2"/>
    </row>
    <row r="5901">
      <c r="B5901" s="2"/>
    </row>
    <row r="5902">
      <c r="B5902" s="2"/>
    </row>
    <row r="5903">
      <c r="B5903" s="2"/>
    </row>
    <row r="5904">
      <c r="B5904" s="2"/>
    </row>
    <row r="5905">
      <c r="B5905" s="2"/>
    </row>
    <row r="5906">
      <c r="B5906" s="2"/>
    </row>
    <row r="5907">
      <c r="B5907" s="2"/>
    </row>
    <row r="5908">
      <c r="B5908" s="2"/>
    </row>
    <row r="5909">
      <c r="B5909" s="2"/>
    </row>
    <row r="5910">
      <c r="B5910" s="2"/>
    </row>
    <row r="5911">
      <c r="B5911" s="2"/>
    </row>
    <row r="5912">
      <c r="B5912" s="2"/>
    </row>
    <row r="5913">
      <c r="B5913" s="2"/>
    </row>
    <row r="5914">
      <c r="B5914" s="2"/>
    </row>
    <row r="5915">
      <c r="B5915" s="2"/>
    </row>
    <row r="5916">
      <c r="B5916" s="2"/>
    </row>
    <row r="5917">
      <c r="B5917" s="2"/>
    </row>
    <row r="5918">
      <c r="B5918" s="2"/>
    </row>
    <row r="5919">
      <c r="B5919" s="2"/>
    </row>
    <row r="5920">
      <c r="B5920" s="2"/>
    </row>
    <row r="5921">
      <c r="B5921" s="2"/>
    </row>
    <row r="5922">
      <c r="B5922" s="2"/>
    </row>
    <row r="5923">
      <c r="B5923" s="2"/>
    </row>
    <row r="5924">
      <c r="B5924" s="2"/>
    </row>
    <row r="5925">
      <c r="B5925" s="2"/>
    </row>
    <row r="5926">
      <c r="B5926" s="2"/>
    </row>
    <row r="5927">
      <c r="B5927" s="2"/>
    </row>
    <row r="5928">
      <c r="B5928" s="2"/>
    </row>
    <row r="5929">
      <c r="B5929" s="2"/>
    </row>
    <row r="5930">
      <c r="B5930" s="2"/>
    </row>
    <row r="5931">
      <c r="B5931" s="2"/>
    </row>
    <row r="5932">
      <c r="B5932" s="2"/>
    </row>
    <row r="5933">
      <c r="B5933" s="2"/>
    </row>
    <row r="5934">
      <c r="B5934" s="2"/>
    </row>
    <row r="5935">
      <c r="B5935" s="2"/>
    </row>
    <row r="5936">
      <c r="B5936" s="2"/>
    </row>
    <row r="5937">
      <c r="B5937" s="2"/>
    </row>
    <row r="5938">
      <c r="B5938" s="2"/>
    </row>
    <row r="5939">
      <c r="B5939" s="2"/>
    </row>
    <row r="5940">
      <c r="B5940" s="2"/>
    </row>
    <row r="5941">
      <c r="B5941" s="2"/>
    </row>
    <row r="5942">
      <c r="B5942" s="2"/>
    </row>
    <row r="5943">
      <c r="B5943" s="2"/>
    </row>
    <row r="5944">
      <c r="B5944" s="2"/>
    </row>
    <row r="5945">
      <c r="B5945" s="2"/>
    </row>
    <row r="5946">
      <c r="B5946" s="2"/>
    </row>
    <row r="5947">
      <c r="B5947" s="2"/>
    </row>
    <row r="5948">
      <c r="B5948" s="2"/>
    </row>
    <row r="5949">
      <c r="B5949" s="2"/>
    </row>
    <row r="5950">
      <c r="B5950" s="2"/>
    </row>
    <row r="5951">
      <c r="B5951" s="2"/>
    </row>
    <row r="5952">
      <c r="B5952" s="2"/>
    </row>
    <row r="5953">
      <c r="B5953" s="2"/>
    </row>
    <row r="5954">
      <c r="B5954" s="2"/>
    </row>
    <row r="5955">
      <c r="B5955" s="2"/>
    </row>
    <row r="5956">
      <c r="B5956" s="2"/>
    </row>
    <row r="5957">
      <c r="B5957" s="2"/>
    </row>
    <row r="5958">
      <c r="B5958" s="2"/>
    </row>
    <row r="5959">
      <c r="B5959" s="2"/>
    </row>
    <row r="5960">
      <c r="B5960" s="2"/>
    </row>
    <row r="5961">
      <c r="B5961" s="2"/>
    </row>
    <row r="5962">
      <c r="B5962" s="2"/>
    </row>
    <row r="5963">
      <c r="B5963" s="2"/>
    </row>
    <row r="5964">
      <c r="B5964" s="2"/>
    </row>
    <row r="5965">
      <c r="B5965" s="2"/>
    </row>
    <row r="5966">
      <c r="B5966" s="2"/>
    </row>
    <row r="5967">
      <c r="B5967" s="2"/>
    </row>
    <row r="5968">
      <c r="B5968" s="2"/>
    </row>
    <row r="5969">
      <c r="B5969" s="2"/>
    </row>
    <row r="5970">
      <c r="B5970" s="2"/>
    </row>
    <row r="5971">
      <c r="B5971" s="2"/>
    </row>
    <row r="5972">
      <c r="B5972" s="2"/>
    </row>
    <row r="5973">
      <c r="B5973" s="2"/>
    </row>
    <row r="5974">
      <c r="B5974" s="2"/>
    </row>
    <row r="5975">
      <c r="B5975" s="2"/>
    </row>
    <row r="5976">
      <c r="B5976" s="2"/>
    </row>
    <row r="5977">
      <c r="B5977" s="2"/>
    </row>
    <row r="5978">
      <c r="B5978" s="2"/>
    </row>
    <row r="5979">
      <c r="B5979" s="2"/>
    </row>
    <row r="5980">
      <c r="B5980" s="2"/>
    </row>
    <row r="5981">
      <c r="B5981" s="2"/>
    </row>
    <row r="5982">
      <c r="B5982" s="2"/>
    </row>
    <row r="5983">
      <c r="B5983" s="2"/>
    </row>
    <row r="5984">
      <c r="B5984" s="2"/>
    </row>
    <row r="5985">
      <c r="B5985" s="2"/>
    </row>
    <row r="5986">
      <c r="B5986" s="2"/>
    </row>
    <row r="5987">
      <c r="B5987" s="2"/>
    </row>
    <row r="5988">
      <c r="B5988" s="2"/>
    </row>
    <row r="5989">
      <c r="B5989" s="2"/>
    </row>
    <row r="5990">
      <c r="B5990" s="2"/>
    </row>
    <row r="5991">
      <c r="B5991" s="2"/>
    </row>
    <row r="5992">
      <c r="B5992" s="2"/>
    </row>
    <row r="5993">
      <c r="B5993" s="2"/>
    </row>
    <row r="5994">
      <c r="B5994" s="2"/>
    </row>
    <row r="5995">
      <c r="B5995" s="2"/>
    </row>
    <row r="5996">
      <c r="B5996" s="2"/>
    </row>
    <row r="5997">
      <c r="B5997" s="2"/>
    </row>
    <row r="5998">
      <c r="B5998" s="2"/>
    </row>
    <row r="5999">
      <c r="B5999" s="2"/>
    </row>
    <row r="6000">
      <c r="B6000" s="2"/>
    </row>
    <row r="6001">
      <c r="B6001" s="2"/>
    </row>
    <row r="6002">
      <c r="B6002" s="2"/>
    </row>
    <row r="6003">
      <c r="B6003" s="2"/>
    </row>
    <row r="6004">
      <c r="B6004" s="2"/>
    </row>
    <row r="6005">
      <c r="B6005" s="2"/>
    </row>
    <row r="6006">
      <c r="B6006" s="2"/>
    </row>
    <row r="6007">
      <c r="B6007" s="2"/>
    </row>
    <row r="6008">
      <c r="B6008" s="2"/>
    </row>
    <row r="6009">
      <c r="B6009" s="2"/>
    </row>
    <row r="6010">
      <c r="B6010" s="2"/>
    </row>
    <row r="6011">
      <c r="B6011" s="2"/>
    </row>
    <row r="6012">
      <c r="B6012" s="2"/>
    </row>
    <row r="6013">
      <c r="B6013" s="2"/>
    </row>
    <row r="6014">
      <c r="B6014" s="2"/>
    </row>
    <row r="6015">
      <c r="B6015" s="2"/>
    </row>
    <row r="6016">
      <c r="B6016" s="2"/>
    </row>
    <row r="6017">
      <c r="B6017" s="2"/>
    </row>
    <row r="6018">
      <c r="B6018" s="2"/>
    </row>
    <row r="6019">
      <c r="B6019" s="2"/>
    </row>
    <row r="6020">
      <c r="B6020" s="2"/>
    </row>
    <row r="6021">
      <c r="B6021" s="2"/>
    </row>
    <row r="6022">
      <c r="B6022" s="2"/>
    </row>
    <row r="6023">
      <c r="B6023" s="2"/>
    </row>
    <row r="6024">
      <c r="B6024" s="2"/>
    </row>
    <row r="6025">
      <c r="B6025" s="2"/>
    </row>
    <row r="6026">
      <c r="B6026" s="2"/>
    </row>
    <row r="6027">
      <c r="B6027" s="2"/>
    </row>
    <row r="6028">
      <c r="B6028" s="2"/>
    </row>
    <row r="6029">
      <c r="B6029" s="2"/>
    </row>
    <row r="6030">
      <c r="B6030" s="2"/>
    </row>
    <row r="6031">
      <c r="B6031" s="2"/>
    </row>
    <row r="6032">
      <c r="B6032" s="2"/>
    </row>
    <row r="6033">
      <c r="B6033" s="2"/>
    </row>
    <row r="6034">
      <c r="B6034" s="2"/>
    </row>
    <row r="6035">
      <c r="B6035" s="2"/>
    </row>
    <row r="6036">
      <c r="B6036" s="2"/>
    </row>
    <row r="6037">
      <c r="B6037" s="2"/>
    </row>
    <row r="6038">
      <c r="B6038" s="2"/>
    </row>
    <row r="6039">
      <c r="B6039" s="2"/>
    </row>
    <row r="6040">
      <c r="B6040" s="2"/>
    </row>
    <row r="6041">
      <c r="B6041" s="2"/>
    </row>
    <row r="6042">
      <c r="B6042" s="2"/>
    </row>
    <row r="6043">
      <c r="B6043" s="2"/>
    </row>
    <row r="6044">
      <c r="B6044" s="2"/>
    </row>
    <row r="6045">
      <c r="B6045" s="2"/>
    </row>
    <row r="6046">
      <c r="B6046" s="2"/>
    </row>
    <row r="6047">
      <c r="B6047" s="2"/>
    </row>
    <row r="6048">
      <c r="B6048" s="2"/>
    </row>
    <row r="6049">
      <c r="B6049" s="2"/>
    </row>
    <row r="6050">
      <c r="B6050" s="2"/>
    </row>
    <row r="6051">
      <c r="B6051" s="2"/>
    </row>
    <row r="6052">
      <c r="B6052" s="2"/>
    </row>
    <row r="6053">
      <c r="B6053" s="2"/>
    </row>
    <row r="6054">
      <c r="B6054" s="2"/>
    </row>
    <row r="6055">
      <c r="B6055" s="2"/>
    </row>
    <row r="6056">
      <c r="B6056" s="2"/>
    </row>
    <row r="6057">
      <c r="B6057" s="2"/>
    </row>
    <row r="6058">
      <c r="B6058" s="2"/>
    </row>
    <row r="6059">
      <c r="B6059" s="2"/>
    </row>
    <row r="6060">
      <c r="B6060" s="2"/>
    </row>
    <row r="6061">
      <c r="B6061" s="2"/>
    </row>
    <row r="6062">
      <c r="B6062" s="2"/>
    </row>
    <row r="6063">
      <c r="B6063" s="2"/>
    </row>
    <row r="6064">
      <c r="B6064" s="2"/>
    </row>
    <row r="6065">
      <c r="B6065" s="2"/>
    </row>
    <row r="6066">
      <c r="B6066" s="2"/>
    </row>
    <row r="6067">
      <c r="B6067" s="2"/>
    </row>
    <row r="6068">
      <c r="B6068" s="2"/>
    </row>
    <row r="6069">
      <c r="B6069" s="2"/>
    </row>
    <row r="6070">
      <c r="B6070" s="2"/>
    </row>
    <row r="6071">
      <c r="B6071" s="2"/>
    </row>
    <row r="6072">
      <c r="B6072" s="2"/>
    </row>
    <row r="6073">
      <c r="B6073" s="2"/>
    </row>
    <row r="6074">
      <c r="B6074" s="2"/>
    </row>
    <row r="6075">
      <c r="B6075" s="2"/>
    </row>
    <row r="6076">
      <c r="B6076" s="2"/>
    </row>
    <row r="6077">
      <c r="B6077" s="2"/>
    </row>
    <row r="6078">
      <c r="B6078" s="2"/>
    </row>
    <row r="6079">
      <c r="B6079" s="2"/>
    </row>
    <row r="6080">
      <c r="B6080" s="2"/>
    </row>
    <row r="6081">
      <c r="B6081" s="2"/>
    </row>
    <row r="6082">
      <c r="B6082" s="2"/>
    </row>
    <row r="6083">
      <c r="B6083" s="2"/>
    </row>
    <row r="6084">
      <c r="B6084" s="2"/>
    </row>
    <row r="6085">
      <c r="B6085" s="2"/>
    </row>
    <row r="6086">
      <c r="B6086" s="2"/>
    </row>
    <row r="6087">
      <c r="B6087" s="2"/>
    </row>
    <row r="6088">
      <c r="B6088" s="2"/>
    </row>
    <row r="6089">
      <c r="B6089" s="2"/>
    </row>
    <row r="6090">
      <c r="B6090" s="2"/>
    </row>
    <row r="6091">
      <c r="B6091" s="2"/>
    </row>
    <row r="6092">
      <c r="B6092" s="2"/>
    </row>
    <row r="6093">
      <c r="B6093" s="2"/>
    </row>
    <row r="6094">
      <c r="B6094" s="2"/>
    </row>
    <row r="6095">
      <c r="B6095" s="2"/>
    </row>
    <row r="6096">
      <c r="B6096" s="2"/>
    </row>
    <row r="6097">
      <c r="B6097" s="2"/>
    </row>
    <row r="6098">
      <c r="B6098" s="2"/>
    </row>
    <row r="6099">
      <c r="B6099" s="2"/>
    </row>
    <row r="6100">
      <c r="B6100" s="2"/>
    </row>
    <row r="6101">
      <c r="B6101" s="2"/>
    </row>
    <row r="6102">
      <c r="B6102" s="2"/>
    </row>
    <row r="6103">
      <c r="B6103" s="2"/>
    </row>
    <row r="6104">
      <c r="B6104" s="2"/>
    </row>
    <row r="6105">
      <c r="B6105" s="2"/>
    </row>
    <row r="6106">
      <c r="B6106" s="2"/>
    </row>
    <row r="6107">
      <c r="B6107" s="2"/>
    </row>
    <row r="6108">
      <c r="B6108" s="2"/>
    </row>
    <row r="6109">
      <c r="B6109" s="2"/>
    </row>
    <row r="6110">
      <c r="B6110" s="2"/>
    </row>
    <row r="6111">
      <c r="B6111" s="2"/>
    </row>
    <row r="6112">
      <c r="B6112" s="2"/>
    </row>
    <row r="6113">
      <c r="B6113" s="2"/>
    </row>
    <row r="6114">
      <c r="B6114" s="2"/>
    </row>
    <row r="6115">
      <c r="B6115" s="2"/>
    </row>
    <row r="6116">
      <c r="B6116" s="2"/>
    </row>
    <row r="6117">
      <c r="B6117" s="2"/>
    </row>
    <row r="6118">
      <c r="B6118" s="2"/>
    </row>
    <row r="6119">
      <c r="B6119" s="2"/>
    </row>
    <row r="6120">
      <c r="B6120" s="2"/>
    </row>
    <row r="6121">
      <c r="B6121" s="2"/>
    </row>
    <row r="6122">
      <c r="B6122" s="2"/>
    </row>
    <row r="6123">
      <c r="B6123" s="2"/>
    </row>
    <row r="6124">
      <c r="B6124" s="2"/>
    </row>
    <row r="6125">
      <c r="B6125" s="2"/>
    </row>
    <row r="6126">
      <c r="B6126" s="2"/>
    </row>
    <row r="6127">
      <c r="B6127" s="2"/>
    </row>
    <row r="6128">
      <c r="B6128" s="2"/>
    </row>
    <row r="6129">
      <c r="B6129" s="2"/>
    </row>
    <row r="6130">
      <c r="B6130" s="2"/>
    </row>
    <row r="6131">
      <c r="B6131" s="2"/>
    </row>
    <row r="6132">
      <c r="B6132" s="2"/>
    </row>
    <row r="6133">
      <c r="B6133" s="2"/>
    </row>
    <row r="6134">
      <c r="B6134" s="2"/>
    </row>
    <row r="6135">
      <c r="B6135" s="2"/>
    </row>
    <row r="6136">
      <c r="B6136" s="2"/>
    </row>
    <row r="6137">
      <c r="B6137" s="2"/>
    </row>
    <row r="6138">
      <c r="B6138" s="2"/>
    </row>
    <row r="6139">
      <c r="B6139" s="2"/>
    </row>
    <row r="6140">
      <c r="B6140" s="2"/>
    </row>
    <row r="6141">
      <c r="B6141" s="2"/>
    </row>
    <row r="6142">
      <c r="B6142" s="2"/>
    </row>
    <row r="6143">
      <c r="B6143" s="2"/>
    </row>
    <row r="6144">
      <c r="B6144" s="2"/>
    </row>
    <row r="6145">
      <c r="B6145" s="2"/>
    </row>
    <row r="6146">
      <c r="B6146" s="2"/>
    </row>
    <row r="6147">
      <c r="B6147" s="2"/>
    </row>
    <row r="6148">
      <c r="B6148" s="2"/>
    </row>
    <row r="6149">
      <c r="B6149" s="2"/>
    </row>
    <row r="6150">
      <c r="B6150" s="2"/>
    </row>
    <row r="6151">
      <c r="B6151" s="2"/>
    </row>
    <row r="6152">
      <c r="B6152" s="2"/>
    </row>
    <row r="6153">
      <c r="B6153" s="2"/>
    </row>
    <row r="6154">
      <c r="B6154" s="2"/>
    </row>
    <row r="6155">
      <c r="B6155" s="2"/>
    </row>
    <row r="6156">
      <c r="B6156" s="2"/>
    </row>
    <row r="6157">
      <c r="B6157" s="2"/>
    </row>
    <row r="6158">
      <c r="B6158" s="2"/>
    </row>
    <row r="6159">
      <c r="B6159" s="2"/>
    </row>
    <row r="6160">
      <c r="B6160" s="2"/>
    </row>
    <row r="6161">
      <c r="B6161" s="2"/>
    </row>
    <row r="6162">
      <c r="B6162" s="2"/>
    </row>
    <row r="6163">
      <c r="B6163" s="2"/>
    </row>
    <row r="6164">
      <c r="B6164" s="2"/>
    </row>
    <row r="6165">
      <c r="B6165" s="2"/>
    </row>
    <row r="6166">
      <c r="B6166" s="2"/>
    </row>
    <row r="6167">
      <c r="B6167" s="2"/>
    </row>
    <row r="6168">
      <c r="B6168" s="2"/>
    </row>
    <row r="6169">
      <c r="B6169" s="2"/>
    </row>
    <row r="6170">
      <c r="B6170" s="2"/>
    </row>
    <row r="6171">
      <c r="B6171" s="2"/>
    </row>
    <row r="6172">
      <c r="B6172" s="2"/>
    </row>
    <row r="6173">
      <c r="B6173" s="2"/>
    </row>
    <row r="6174">
      <c r="B6174" s="2"/>
    </row>
    <row r="6175">
      <c r="B6175" s="2"/>
    </row>
    <row r="6176">
      <c r="B6176" s="2"/>
    </row>
    <row r="6177">
      <c r="B6177" s="2"/>
    </row>
    <row r="6178">
      <c r="B6178" s="2"/>
    </row>
    <row r="6179">
      <c r="B6179" s="2"/>
    </row>
    <row r="6180">
      <c r="B6180" s="2"/>
    </row>
    <row r="6181">
      <c r="B6181" s="2"/>
    </row>
    <row r="6182">
      <c r="B6182" s="2"/>
    </row>
    <row r="6183">
      <c r="B6183" s="2"/>
    </row>
    <row r="6184">
      <c r="B6184" s="2"/>
    </row>
    <row r="6185">
      <c r="B6185" s="2"/>
    </row>
    <row r="6186">
      <c r="B6186" s="2"/>
    </row>
    <row r="6187">
      <c r="B6187" s="2"/>
    </row>
    <row r="6188">
      <c r="B6188" s="2"/>
    </row>
    <row r="6189">
      <c r="B6189" s="2"/>
    </row>
    <row r="6190">
      <c r="B6190" s="2"/>
    </row>
    <row r="6191">
      <c r="B6191" s="2"/>
    </row>
    <row r="6192">
      <c r="B6192" s="2"/>
    </row>
    <row r="6193">
      <c r="B6193" s="2"/>
    </row>
    <row r="6194">
      <c r="B6194" s="2"/>
    </row>
    <row r="6195">
      <c r="B6195" s="2"/>
    </row>
    <row r="6196">
      <c r="B6196" s="2"/>
    </row>
    <row r="6197">
      <c r="B6197" s="2"/>
    </row>
    <row r="6198">
      <c r="B6198" s="2"/>
    </row>
    <row r="6199">
      <c r="B6199" s="2"/>
    </row>
    <row r="6200">
      <c r="B6200" s="2"/>
    </row>
    <row r="6201">
      <c r="B6201" s="2"/>
    </row>
    <row r="6202">
      <c r="B6202" s="2"/>
    </row>
    <row r="6203">
      <c r="B6203" s="2"/>
    </row>
    <row r="6204">
      <c r="B6204" s="2"/>
    </row>
    <row r="6205">
      <c r="B6205" s="2"/>
    </row>
    <row r="6206">
      <c r="B6206" s="2"/>
    </row>
    <row r="6207">
      <c r="B6207" s="2"/>
    </row>
    <row r="6208">
      <c r="B6208" s="2"/>
    </row>
    <row r="6209">
      <c r="B6209" s="2"/>
    </row>
    <row r="6210">
      <c r="B6210" s="2"/>
    </row>
    <row r="6211">
      <c r="B6211" s="2"/>
    </row>
    <row r="6212">
      <c r="B6212" s="2"/>
    </row>
    <row r="6213">
      <c r="B6213" s="2"/>
    </row>
    <row r="6214">
      <c r="B6214" s="2"/>
    </row>
    <row r="6215">
      <c r="B6215" s="2"/>
    </row>
    <row r="6216">
      <c r="B6216" s="2"/>
    </row>
    <row r="6217">
      <c r="B6217" s="2"/>
    </row>
    <row r="6218">
      <c r="B6218" s="2"/>
    </row>
    <row r="6219">
      <c r="B6219" s="2"/>
    </row>
    <row r="6220">
      <c r="B6220" s="2"/>
    </row>
    <row r="6221">
      <c r="B6221" s="2"/>
    </row>
    <row r="6222">
      <c r="B6222" s="2"/>
    </row>
    <row r="6223">
      <c r="B6223" s="2"/>
    </row>
    <row r="6224">
      <c r="B6224" s="2"/>
    </row>
    <row r="6225">
      <c r="B6225" s="2"/>
    </row>
    <row r="6226">
      <c r="B6226" s="2"/>
    </row>
    <row r="6227">
      <c r="B6227" s="2"/>
    </row>
    <row r="6228">
      <c r="B6228" s="2"/>
    </row>
    <row r="6229">
      <c r="B6229" s="2"/>
    </row>
    <row r="6230">
      <c r="B6230" s="2"/>
    </row>
    <row r="6231">
      <c r="B6231" s="2"/>
    </row>
    <row r="6232">
      <c r="B6232" s="2"/>
    </row>
    <row r="6233">
      <c r="B6233" s="2"/>
    </row>
    <row r="6234">
      <c r="B6234" s="2"/>
    </row>
    <row r="6235">
      <c r="B6235" s="2"/>
    </row>
    <row r="6236">
      <c r="B6236" s="2"/>
    </row>
    <row r="6237">
      <c r="B6237" s="2"/>
    </row>
    <row r="6238">
      <c r="B6238" s="2"/>
    </row>
    <row r="6239">
      <c r="B6239" s="2"/>
    </row>
    <row r="6240">
      <c r="B6240" s="2"/>
    </row>
    <row r="6241">
      <c r="B6241" s="2"/>
    </row>
    <row r="6242">
      <c r="B6242" s="2"/>
    </row>
    <row r="6243">
      <c r="B6243" s="2"/>
    </row>
    <row r="6244">
      <c r="B6244" s="2"/>
    </row>
    <row r="6245">
      <c r="B6245" s="2"/>
    </row>
    <row r="6246">
      <c r="B6246" s="2"/>
    </row>
    <row r="6247">
      <c r="B6247" s="2"/>
    </row>
    <row r="6248">
      <c r="B6248" s="2"/>
    </row>
    <row r="6249">
      <c r="B6249" s="2"/>
    </row>
    <row r="6250">
      <c r="B6250" s="2"/>
    </row>
    <row r="6251">
      <c r="B6251" s="2"/>
    </row>
    <row r="6252">
      <c r="B6252" s="2"/>
    </row>
    <row r="6253">
      <c r="B6253" s="2"/>
    </row>
    <row r="6254">
      <c r="B6254" s="2"/>
    </row>
    <row r="6255">
      <c r="B6255" s="2"/>
    </row>
    <row r="6256">
      <c r="B6256" s="2"/>
    </row>
    <row r="6257">
      <c r="B6257" s="2"/>
    </row>
    <row r="6258">
      <c r="B6258" s="2"/>
    </row>
    <row r="6259">
      <c r="B6259" s="2"/>
    </row>
    <row r="6260">
      <c r="B6260" s="2"/>
    </row>
    <row r="6261">
      <c r="B6261" s="2"/>
    </row>
    <row r="6262">
      <c r="B6262" s="2"/>
    </row>
    <row r="6263">
      <c r="B6263" s="2"/>
    </row>
    <row r="6264">
      <c r="B6264" s="2"/>
    </row>
    <row r="6265">
      <c r="B6265" s="2"/>
    </row>
    <row r="6266">
      <c r="B6266" s="2"/>
    </row>
    <row r="6267">
      <c r="B6267" s="2"/>
    </row>
    <row r="6268">
      <c r="B6268" s="2"/>
    </row>
    <row r="6269">
      <c r="B6269" s="2"/>
    </row>
    <row r="6270">
      <c r="B6270" s="2"/>
    </row>
    <row r="6271">
      <c r="B6271" s="2"/>
    </row>
    <row r="6272">
      <c r="B6272" s="2"/>
    </row>
    <row r="6273">
      <c r="B6273" s="2"/>
    </row>
    <row r="6274">
      <c r="B6274" s="2"/>
    </row>
    <row r="6275">
      <c r="B6275" s="2"/>
    </row>
    <row r="6276">
      <c r="B6276" s="2"/>
    </row>
    <row r="6277">
      <c r="B6277" s="2"/>
    </row>
    <row r="6278">
      <c r="B6278" s="2"/>
    </row>
    <row r="6279">
      <c r="B6279" s="2"/>
    </row>
    <row r="6280">
      <c r="B6280" s="2"/>
    </row>
    <row r="6281">
      <c r="B6281" s="2"/>
    </row>
    <row r="6282">
      <c r="B6282" s="2"/>
    </row>
    <row r="6283">
      <c r="B6283" s="2"/>
    </row>
    <row r="6284">
      <c r="B6284" s="2"/>
    </row>
    <row r="6285">
      <c r="B6285" s="2"/>
    </row>
    <row r="6286">
      <c r="B6286" s="2"/>
    </row>
    <row r="6287">
      <c r="B6287" s="2"/>
    </row>
    <row r="6288">
      <c r="B6288" s="2"/>
    </row>
    <row r="6289">
      <c r="B6289" s="2"/>
    </row>
    <row r="6290">
      <c r="B6290" s="2"/>
    </row>
    <row r="6291">
      <c r="B6291" s="2"/>
    </row>
    <row r="6292">
      <c r="B6292" s="2"/>
    </row>
    <row r="6293">
      <c r="B6293" s="2"/>
    </row>
    <row r="6294">
      <c r="B6294" s="2"/>
    </row>
    <row r="6295">
      <c r="B6295" s="2"/>
    </row>
    <row r="6296">
      <c r="B6296" s="2"/>
    </row>
    <row r="6297">
      <c r="B6297" s="2"/>
    </row>
    <row r="6298">
      <c r="B6298" s="2"/>
    </row>
    <row r="6299">
      <c r="B6299" s="2"/>
    </row>
    <row r="6300">
      <c r="B6300" s="2"/>
    </row>
    <row r="6301">
      <c r="B6301" s="2"/>
    </row>
    <row r="6302">
      <c r="B6302" s="2"/>
    </row>
    <row r="6303">
      <c r="B6303" s="2"/>
    </row>
    <row r="6304">
      <c r="B6304" s="2"/>
    </row>
    <row r="6305">
      <c r="B6305" s="2"/>
    </row>
    <row r="6306">
      <c r="B6306" s="2"/>
    </row>
    <row r="6307">
      <c r="B6307" s="2"/>
    </row>
    <row r="6308">
      <c r="B6308" s="2"/>
    </row>
    <row r="6309">
      <c r="B6309" s="2"/>
    </row>
    <row r="6310">
      <c r="B6310" s="2"/>
    </row>
    <row r="6311">
      <c r="B6311" s="2"/>
    </row>
    <row r="6312">
      <c r="B6312" s="2"/>
    </row>
    <row r="6313">
      <c r="B6313" s="2"/>
    </row>
    <row r="6314">
      <c r="B6314" s="2"/>
    </row>
    <row r="6315">
      <c r="B6315" s="2"/>
    </row>
    <row r="6316">
      <c r="B6316" s="2"/>
    </row>
    <row r="6317">
      <c r="B6317" s="2"/>
    </row>
    <row r="6318">
      <c r="B6318" s="2"/>
    </row>
    <row r="6319">
      <c r="B6319" s="2"/>
    </row>
    <row r="6320">
      <c r="B6320" s="2"/>
    </row>
    <row r="6321">
      <c r="B6321" s="2"/>
    </row>
    <row r="6322">
      <c r="B6322" s="2"/>
    </row>
    <row r="6323">
      <c r="B6323" s="2"/>
    </row>
    <row r="6324">
      <c r="B6324" s="2"/>
    </row>
    <row r="6325">
      <c r="B6325" s="2"/>
    </row>
    <row r="6326">
      <c r="B6326" s="2"/>
    </row>
    <row r="6327">
      <c r="B6327" s="2"/>
    </row>
    <row r="6328">
      <c r="B6328" s="2"/>
    </row>
    <row r="6329">
      <c r="B6329" s="2"/>
    </row>
    <row r="6330">
      <c r="B6330" s="2"/>
    </row>
    <row r="6331">
      <c r="B6331" s="2"/>
    </row>
    <row r="6332">
      <c r="B6332" s="2"/>
    </row>
    <row r="6333">
      <c r="B6333" s="2"/>
    </row>
    <row r="6334">
      <c r="B6334" s="2"/>
    </row>
    <row r="6335">
      <c r="B6335" s="2"/>
    </row>
    <row r="6336">
      <c r="B6336" s="2"/>
    </row>
    <row r="6337">
      <c r="B6337" s="2"/>
    </row>
    <row r="6338">
      <c r="B6338" s="2"/>
    </row>
    <row r="6339">
      <c r="B6339" s="2"/>
    </row>
    <row r="6340">
      <c r="B6340" s="2"/>
    </row>
    <row r="6341">
      <c r="B6341" s="2"/>
    </row>
    <row r="6342">
      <c r="B6342" s="2"/>
    </row>
    <row r="6343">
      <c r="B6343" s="2"/>
    </row>
    <row r="6344">
      <c r="B6344" s="2"/>
    </row>
    <row r="6345">
      <c r="B6345" s="2"/>
    </row>
    <row r="6346">
      <c r="B6346" s="2"/>
    </row>
    <row r="6347">
      <c r="B6347" s="2"/>
    </row>
    <row r="6348">
      <c r="B6348" s="2"/>
    </row>
    <row r="6349">
      <c r="B6349" s="2"/>
    </row>
    <row r="6350">
      <c r="B6350" s="2"/>
    </row>
    <row r="6351">
      <c r="B6351" s="2"/>
    </row>
    <row r="6352">
      <c r="B6352" s="2"/>
    </row>
    <row r="6353">
      <c r="B6353" s="2"/>
    </row>
    <row r="6354">
      <c r="B6354" s="2"/>
    </row>
    <row r="6355">
      <c r="B6355" s="2"/>
    </row>
    <row r="6356">
      <c r="B6356" s="2"/>
    </row>
    <row r="6357">
      <c r="B6357" s="2"/>
    </row>
    <row r="6358">
      <c r="B6358" s="2"/>
    </row>
    <row r="6359">
      <c r="B6359" s="2"/>
    </row>
    <row r="6360">
      <c r="B6360" s="2"/>
    </row>
    <row r="6361">
      <c r="B6361" s="2"/>
    </row>
    <row r="6362">
      <c r="B6362" s="2"/>
    </row>
    <row r="6363">
      <c r="B6363" s="2"/>
    </row>
    <row r="6364">
      <c r="B6364" s="2"/>
    </row>
    <row r="6365">
      <c r="B6365" s="2"/>
    </row>
    <row r="6366">
      <c r="B6366" s="2"/>
    </row>
    <row r="6367">
      <c r="B6367" s="2"/>
    </row>
    <row r="6368">
      <c r="B6368" s="2"/>
    </row>
    <row r="6369">
      <c r="B6369" s="2"/>
    </row>
    <row r="6370">
      <c r="B6370" s="2"/>
    </row>
    <row r="6371">
      <c r="B6371" s="2"/>
    </row>
    <row r="6372">
      <c r="B6372" s="2"/>
    </row>
    <row r="6373">
      <c r="B6373" s="2"/>
    </row>
    <row r="6374">
      <c r="B6374" s="2"/>
    </row>
    <row r="6375">
      <c r="B6375" s="2"/>
    </row>
    <row r="6376">
      <c r="B6376" s="2"/>
    </row>
    <row r="6377">
      <c r="B6377" s="2"/>
    </row>
    <row r="6378">
      <c r="B6378" s="2"/>
    </row>
    <row r="6379">
      <c r="B6379" s="2"/>
    </row>
    <row r="6380">
      <c r="B6380" s="2"/>
    </row>
    <row r="6381">
      <c r="B6381" s="2"/>
    </row>
    <row r="6382">
      <c r="B6382" s="2"/>
    </row>
    <row r="6383">
      <c r="B6383" s="2"/>
    </row>
    <row r="6384">
      <c r="B6384" s="2"/>
    </row>
    <row r="6385">
      <c r="B6385" s="2"/>
    </row>
    <row r="6386">
      <c r="B6386" s="2"/>
    </row>
    <row r="6387">
      <c r="B6387" s="2"/>
    </row>
    <row r="6388">
      <c r="B6388" s="2"/>
    </row>
    <row r="6389">
      <c r="B6389" s="2"/>
    </row>
    <row r="6390">
      <c r="B6390" s="2"/>
    </row>
    <row r="6391">
      <c r="B6391" s="2"/>
    </row>
    <row r="6392">
      <c r="B6392" s="2"/>
    </row>
    <row r="6393">
      <c r="B6393" s="2"/>
    </row>
    <row r="6394">
      <c r="B6394" s="2"/>
    </row>
    <row r="6395">
      <c r="B6395" s="2"/>
    </row>
    <row r="6396">
      <c r="B6396" s="2"/>
    </row>
    <row r="6397">
      <c r="B6397" s="2"/>
    </row>
    <row r="6398">
      <c r="B6398" s="2"/>
    </row>
    <row r="6399">
      <c r="B6399" s="2"/>
    </row>
    <row r="6400">
      <c r="B6400" s="2"/>
    </row>
    <row r="6401">
      <c r="B6401" s="2"/>
    </row>
    <row r="6402">
      <c r="B6402" s="2"/>
    </row>
    <row r="6403">
      <c r="B6403" s="2"/>
    </row>
    <row r="6404">
      <c r="B6404" s="2"/>
    </row>
    <row r="6405">
      <c r="B6405" s="2"/>
    </row>
    <row r="6406">
      <c r="B6406" s="2"/>
    </row>
    <row r="6407">
      <c r="B6407" s="2"/>
    </row>
    <row r="6408">
      <c r="B6408" s="2"/>
    </row>
    <row r="6409">
      <c r="B6409" s="2"/>
    </row>
    <row r="6410">
      <c r="B6410" s="2"/>
    </row>
    <row r="6411">
      <c r="B6411" s="2"/>
    </row>
    <row r="6412">
      <c r="B6412" s="2"/>
    </row>
    <row r="6413">
      <c r="B6413" s="2"/>
    </row>
    <row r="6414">
      <c r="B6414" s="2"/>
    </row>
    <row r="6415">
      <c r="B6415" s="2"/>
    </row>
    <row r="6416">
      <c r="B6416" s="2"/>
    </row>
    <row r="6417">
      <c r="B6417" s="2"/>
    </row>
    <row r="6418">
      <c r="B6418" s="2"/>
    </row>
    <row r="6419">
      <c r="B6419" s="2"/>
    </row>
    <row r="6420">
      <c r="B6420" s="2"/>
    </row>
    <row r="6421">
      <c r="B6421" s="2"/>
    </row>
    <row r="6422">
      <c r="B6422" s="2"/>
    </row>
    <row r="6423">
      <c r="B6423" s="2"/>
    </row>
    <row r="6424">
      <c r="B6424" s="2"/>
    </row>
    <row r="6425">
      <c r="B6425" s="2"/>
    </row>
    <row r="6426">
      <c r="B6426" s="2"/>
    </row>
    <row r="6427">
      <c r="B6427" s="2"/>
    </row>
    <row r="6428">
      <c r="B6428" s="2"/>
    </row>
    <row r="6429">
      <c r="B6429" s="2"/>
    </row>
    <row r="6430">
      <c r="B6430" s="2"/>
    </row>
    <row r="6431">
      <c r="B6431" s="2"/>
    </row>
    <row r="6432">
      <c r="B6432" s="2"/>
    </row>
    <row r="6433">
      <c r="B6433" s="2"/>
    </row>
    <row r="6434">
      <c r="B6434" s="2"/>
    </row>
    <row r="6435">
      <c r="B6435" s="2"/>
    </row>
    <row r="6436">
      <c r="B6436" s="2"/>
    </row>
    <row r="6437">
      <c r="B6437" s="2"/>
    </row>
    <row r="6438">
      <c r="B6438" s="2"/>
    </row>
    <row r="6439">
      <c r="B6439" s="2"/>
    </row>
    <row r="6440">
      <c r="B6440" s="2"/>
    </row>
    <row r="6441">
      <c r="B6441" s="2"/>
    </row>
    <row r="6442">
      <c r="B6442" s="2"/>
    </row>
    <row r="6443">
      <c r="B6443" s="2"/>
    </row>
    <row r="6444">
      <c r="B6444" s="2"/>
    </row>
    <row r="6445">
      <c r="B6445" s="2"/>
    </row>
    <row r="6446">
      <c r="B6446" s="2"/>
    </row>
    <row r="6447">
      <c r="B6447" s="2"/>
    </row>
    <row r="6448">
      <c r="B6448" s="2"/>
    </row>
    <row r="6449">
      <c r="B6449" s="2"/>
    </row>
    <row r="6450">
      <c r="B6450" s="2"/>
    </row>
    <row r="6451">
      <c r="B6451" s="2"/>
    </row>
    <row r="6452">
      <c r="B6452" s="2"/>
    </row>
    <row r="6453">
      <c r="B6453" s="2"/>
    </row>
    <row r="6454">
      <c r="B6454" s="2"/>
    </row>
    <row r="6455">
      <c r="B6455" s="2"/>
    </row>
    <row r="6456">
      <c r="B6456" s="2"/>
    </row>
    <row r="6457">
      <c r="B6457" s="2"/>
    </row>
    <row r="6458">
      <c r="B6458" s="2"/>
    </row>
    <row r="6459">
      <c r="B6459" s="2"/>
    </row>
    <row r="6460">
      <c r="B6460" s="2"/>
    </row>
    <row r="6461">
      <c r="B6461" s="2"/>
    </row>
    <row r="6462">
      <c r="B6462" s="2"/>
    </row>
    <row r="6463">
      <c r="B6463" s="2"/>
    </row>
    <row r="6464">
      <c r="B6464" s="2"/>
    </row>
    <row r="6465">
      <c r="B6465" s="2"/>
    </row>
    <row r="6466">
      <c r="B6466" s="2"/>
    </row>
    <row r="6467">
      <c r="B6467" s="2"/>
    </row>
    <row r="6468">
      <c r="B6468" s="2"/>
    </row>
    <row r="6469">
      <c r="B6469" s="2"/>
    </row>
    <row r="6470">
      <c r="B6470" s="2"/>
    </row>
    <row r="6471">
      <c r="B6471" s="2"/>
    </row>
    <row r="6472">
      <c r="B6472" s="2"/>
    </row>
    <row r="6473">
      <c r="B6473" s="2"/>
    </row>
    <row r="6474">
      <c r="B6474" s="2"/>
    </row>
    <row r="6475">
      <c r="B6475" s="2"/>
    </row>
    <row r="6476">
      <c r="B6476" s="2"/>
    </row>
    <row r="6477">
      <c r="B6477" s="2"/>
    </row>
    <row r="6478">
      <c r="B6478" s="2"/>
    </row>
    <row r="6479">
      <c r="B6479" s="2"/>
    </row>
    <row r="6480">
      <c r="B6480" s="2"/>
    </row>
    <row r="6481">
      <c r="B6481" s="2"/>
    </row>
    <row r="6482">
      <c r="B6482" s="2"/>
    </row>
    <row r="6483">
      <c r="B6483" s="2"/>
    </row>
    <row r="6484">
      <c r="B6484" s="2"/>
    </row>
    <row r="6485">
      <c r="B6485" s="2"/>
    </row>
    <row r="6486">
      <c r="B6486" s="2"/>
    </row>
    <row r="6487">
      <c r="B6487" s="2"/>
    </row>
    <row r="6488">
      <c r="B6488" s="2"/>
    </row>
    <row r="6489">
      <c r="B6489" s="2"/>
    </row>
    <row r="6490">
      <c r="B6490" s="2"/>
    </row>
    <row r="6491">
      <c r="B6491" s="2"/>
    </row>
    <row r="6492">
      <c r="B6492" s="2"/>
    </row>
    <row r="6493">
      <c r="B6493" s="2"/>
    </row>
    <row r="6494">
      <c r="B6494" s="2"/>
    </row>
    <row r="6495">
      <c r="B6495" s="2"/>
    </row>
    <row r="6496">
      <c r="B6496" s="2"/>
    </row>
    <row r="6497">
      <c r="B6497" s="2"/>
    </row>
    <row r="6498">
      <c r="B6498" s="2"/>
    </row>
    <row r="6499">
      <c r="B6499" s="2"/>
    </row>
    <row r="6500">
      <c r="B6500" s="2"/>
    </row>
    <row r="6501">
      <c r="B6501" s="2"/>
    </row>
    <row r="6502">
      <c r="B6502" s="2"/>
    </row>
    <row r="6503">
      <c r="B6503" s="2"/>
    </row>
    <row r="6504">
      <c r="B6504" s="2"/>
    </row>
    <row r="6505">
      <c r="B6505" s="2"/>
    </row>
    <row r="6506">
      <c r="B6506" s="2"/>
    </row>
    <row r="6507">
      <c r="B6507" s="2"/>
    </row>
    <row r="6508">
      <c r="B6508" s="2"/>
    </row>
    <row r="6509">
      <c r="B6509" s="2"/>
    </row>
    <row r="6510">
      <c r="B6510" s="2"/>
    </row>
    <row r="6511">
      <c r="B6511" s="2"/>
    </row>
    <row r="6512">
      <c r="B6512" s="2"/>
    </row>
    <row r="6513">
      <c r="B6513" s="2"/>
    </row>
    <row r="6514">
      <c r="B6514" s="2"/>
    </row>
    <row r="6515">
      <c r="B6515" s="2"/>
    </row>
    <row r="6516">
      <c r="B6516" s="2"/>
    </row>
    <row r="6517">
      <c r="B6517" s="2"/>
    </row>
    <row r="6518">
      <c r="B6518" s="2"/>
    </row>
    <row r="6519">
      <c r="B6519" s="2"/>
    </row>
    <row r="6520">
      <c r="B6520" s="2"/>
    </row>
    <row r="6521">
      <c r="B6521" s="2"/>
    </row>
    <row r="6522">
      <c r="B6522" s="2"/>
    </row>
    <row r="6523">
      <c r="B6523" s="2"/>
    </row>
    <row r="6524">
      <c r="B6524" s="2"/>
    </row>
    <row r="6525">
      <c r="B6525" s="2"/>
    </row>
    <row r="6526">
      <c r="B6526" s="2"/>
    </row>
    <row r="6527">
      <c r="B6527" s="2"/>
    </row>
    <row r="6528">
      <c r="B6528" s="2"/>
    </row>
    <row r="6529">
      <c r="B6529" s="2"/>
    </row>
    <row r="6530">
      <c r="B6530" s="2"/>
    </row>
    <row r="6531">
      <c r="B6531" s="2"/>
    </row>
    <row r="6532">
      <c r="B6532" s="2"/>
    </row>
    <row r="6533">
      <c r="B6533" s="2"/>
    </row>
    <row r="6534">
      <c r="B6534" s="2"/>
    </row>
    <row r="6535">
      <c r="B6535" s="2"/>
    </row>
    <row r="6536">
      <c r="B6536" s="2"/>
    </row>
    <row r="6537">
      <c r="B6537" s="2"/>
    </row>
    <row r="6538">
      <c r="B6538" s="2"/>
    </row>
    <row r="6539">
      <c r="B6539" s="2"/>
    </row>
    <row r="6540">
      <c r="B6540" s="2"/>
    </row>
    <row r="6541">
      <c r="B6541" s="2"/>
    </row>
    <row r="6542">
      <c r="B6542" s="2"/>
    </row>
    <row r="6543">
      <c r="B6543" s="2"/>
    </row>
    <row r="6544">
      <c r="B6544" s="2"/>
    </row>
    <row r="6545">
      <c r="B6545" s="2"/>
    </row>
    <row r="6546">
      <c r="B6546" s="2"/>
    </row>
    <row r="6547">
      <c r="B6547" s="2"/>
    </row>
    <row r="6548">
      <c r="B6548" s="2"/>
    </row>
    <row r="6549">
      <c r="B6549" s="2"/>
    </row>
    <row r="6550">
      <c r="B6550" s="2"/>
    </row>
    <row r="6551">
      <c r="B6551" s="2"/>
    </row>
    <row r="6552">
      <c r="B6552" s="2"/>
    </row>
    <row r="6553">
      <c r="B6553" s="2"/>
    </row>
    <row r="6554">
      <c r="B6554" s="2"/>
    </row>
    <row r="6555">
      <c r="B6555" s="2"/>
    </row>
    <row r="6556">
      <c r="B6556" s="2"/>
    </row>
    <row r="6557">
      <c r="B6557" s="2"/>
    </row>
    <row r="6558">
      <c r="B6558" s="2"/>
    </row>
    <row r="6559">
      <c r="B6559" s="2"/>
    </row>
    <row r="6560">
      <c r="B6560" s="2"/>
    </row>
    <row r="6561">
      <c r="B6561" s="2"/>
    </row>
    <row r="6562">
      <c r="B6562" s="2"/>
    </row>
    <row r="6563">
      <c r="B6563" s="2"/>
    </row>
    <row r="6564">
      <c r="B6564" s="2"/>
    </row>
    <row r="6565">
      <c r="B6565" s="2"/>
    </row>
    <row r="6566">
      <c r="B6566" s="2"/>
    </row>
    <row r="6567">
      <c r="B6567" s="2"/>
    </row>
    <row r="6568">
      <c r="B6568" s="2"/>
    </row>
    <row r="6569">
      <c r="B6569" s="2"/>
    </row>
    <row r="6570">
      <c r="B6570" s="2"/>
    </row>
    <row r="6571">
      <c r="B6571" s="2"/>
    </row>
    <row r="6572">
      <c r="B6572" s="2"/>
    </row>
    <row r="6573">
      <c r="B6573" s="2"/>
    </row>
    <row r="6574">
      <c r="B6574" s="2"/>
    </row>
    <row r="6575">
      <c r="B6575" s="2"/>
    </row>
    <row r="6576">
      <c r="B6576" s="2"/>
    </row>
    <row r="6577">
      <c r="B6577" s="2"/>
    </row>
    <row r="6578">
      <c r="B6578" s="2"/>
    </row>
    <row r="6579">
      <c r="B6579" s="2"/>
    </row>
    <row r="6580">
      <c r="B6580" s="2"/>
    </row>
    <row r="6581">
      <c r="B6581" s="2"/>
    </row>
    <row r="6582">
      <c r="B6582" s="2"/>
    </row>
    <row r="6583">
      <c r="B6583" s="2"/>
    </row>
    <row r="6584">
      <c r="B6584" s="2"/>
    </row>
    <row r="6585">
      <c r="B6585" s="2"/>
    </row>
    <row r="6586">
      <c r="B6586" s="2"/>
    </row>
    <row r="6587">
      <c r="B6587" s="2"/>
    </row>
    <row r="6588">
      <c r="B6588" s="2"/>
    </row>
    <row r="6589">
      <c r="B6589" s="2"/>
    </row>
    <row r="6590">
      <c r="B6590" s="2"/>
    </row>
    <row r="6591">
      <c r="B6591" s="2"/>
    </row>
    <row r="6592">
      <c r="B6592" s="2"/>
    </row>
    <row r="6593">
      <c r="B6593" s="2"/>
    </row>
    <row r="6594">
      <c r="B6594" s="2"/>
    </row>
    <row r="6595">
      <c r="B6595" s="2"/>
    </row>
    <row r="6596">
      <c r="B6596" s="2"/>
    </row>
    <row r="6597">
      <c r="B6597" s="2"/>
    </row>
    <row r="6598">
      <c r="B6598" s="2"/>
    </row>
    <row r="6599">
      <c r="B6599" s="2"/>
    </row>
    <row r="6600">
      <c r="B6600" s="2"/>
    </row>
    <row r="6601">
      <c r="B6601" s="2"/>
    </row>
    <row r="6602">
      <c r="B6602" s="2"/>
    </row>
    <row r="6603">
      <c r="B6603" s="2"/>
    </row>
    <row r="6604">
      <c r="B6604" s="2"/>
    </row>
    <row r="6605">
      <c r="B6605" s="2"/>
    </row>
    <row r="6606">
      <c r="B6606" s="2"/>
    </row>
    <row r="6607">
      <c r="B6607" s="2"/>
    </row>
    <row r="6608">
      <c r="B6608" s="2"/>
    </row>
    <row r="6609">
      <c r="B6609" s="2"/>
    </row>
    <row r="6610">
      <c r="B6610" s="2"/>
    </row>
    <row r="6611">
      <c r="B6611" s="2"/>
    </row>
    <row r="6612">
      <c r="B6612" s="2"/>
    </row>
    <row r="6613">
      <c r="B6613" s="2"/>
    </row>
    <row r="6614">
      <c r="B6614" s="2"/>
    </row>
    <row r="6615">
      <c r="B6615" s="2"/>
    </row>
    <row r="6616">
      <c r="B6616" s="2"/>
    </row>
    <row r="6617">
      <c r="B6617" s="2"/>
    </row>
    <row r="6618">
      <c r="B6618" s="2"/>
    </row>
    <row r="6619">
      <c r="B6619" s="2"/>
    </row>
    <row r="6620">
      <c r="B6620" s="2"/>
    </row>
    <row r="6621">
      <c r="B6621" s="2"/>
    </row>
    <row r="6622">
      <c r="B6622" s="2"/>
    </row>
    <row r="6623">
      <c r="B6623" s="2"/>
    </row>
    <row r="6624">
      <c r="B6624" s="2"/>
    </row>
    <row r="6625">
      <c r="B6625" s="2"/>
    </row>
    <row r="6626">
      <c r="B6626" s="2"/>
    </row>
    <row r="6627">
      <c r="B6627" s="2"/>
    </row>
    <row r="6628">
      <c r="B6628" s="2"/>
    </row>
    <row r="6629">
      <c r="B6629" s="2"/>
    </row>
    <row r="6630">
      <c r="B6630" s="2"/>
    </row>
    <row r="6631">
      <c r="B6631" s="2"/>
    </row>
    <row r="6632">
      <c r="B6632" s="2"/>
    </row>
    <row r="6633">
      <c r="B6633" s="2"/>
    </row>
    <row r="6634">
      <c r="B6634" s="2"/>
    </row>
    <row r="6635">
      <c r="B6635" s="2"/>
    </row>
    <row r="6636">
      <c r="B6636" s="2"/>
    </row>
    <row r="6637">
      <c r="B6637" s="2"/>
    </row>
    <row r="6638">
      <c r="B6638" s="2"/>
    </row>
    <row r="6639">
      <c r="B6639" s="2"/>
    </row>
    <row r="6640">
      <c r="B6640" s="2"/>
    </row>
    <row r="6641">
      <c r="B6641" s="2"/>
    </row>
    <row r="6642">
      <c r="B6642" s="2"/>
    </row>
    <row r="6643">
      <c r="B6643" s="2"/>
    </row>
    <row r="6644">
      <c r="B6644" s="2"/>
    </row>
    <row r="6645">
      <c r="B6645" s="2"/>
    </row>
    <row r="6646">
      <c r="B6646" s="2"/>
    </row>
    <row r="6647">
      <c r="B6647" s="2"/>
    </row>
    <row r="6648">
      <c r="B6648" s="2"/>
    </row>
    <row r="6649">
      <c r="B6649" s="2"/>
    </row>
    <row r="6650">
      <c r="B6650" s="2"/>
    </row>
    <row r="6651">
      <c r="B6651" s="2"/>
    </row>
    <row r="6652">
      <c r="B6652" s="2"/>
    </row>
    <row r="6653">
      <c r="B6653" s="2"/>
    </row>
    <row r="6654">
      <c r="B6654" s="2"/>
    </row>
    <row r="6655">
      <c r="B6655" s="2"/>
    </row>
    <row r="6656">
      <c r="B6656" s="2"/>
    </row>
    <row r="6657">
      <c r="B6657" s="2"/>
    </row>
    <row r="6658">
      <c r="B6658" s="2"/>
    </row>
    <row r="6659">
      <c r="B6659" s="2"/>
    </row>
    <row r="6660">
      <c r="B6660" s="2"/>
    </row>
    <row r="6661">
      <c r="B6661" s="2"/>
    </row>
    <row r="6662">
      <c r="B6662" s="2"/>
    </row>
    <row r="6663">
      <c r="B6663" s="2"/>
    </row>
    <row r="6664">
      <c r="B6664" s="2"/>
    </row>
    <row r="6665">
      <c r="B6665" s="2"/>
    </row>
    <row r="6666">
      <c r="B6666" s="2"/>
    </row>
    <row r="6667">
      <c r="B6667" s="2"/>
    </row>
    <row r="6668">
      <c r="B6668" s="2"/>
    </row>
    <row r="6669">
      <c r="B6669" s="2"/>
    </row>
    <row r="6670">
      <c r="B6670" s="2"/>
    </row>
    <row r="6671">
      <c r="B6671" s="2"/>
    </row>
    <row r="6672">
      <c r="B6672" s="2"/>
    </row>
    <row r="6673">
      <c r="B6673" s="2"/>
    </row>
    <row r="6674">
      <c r="B6674" s="2"/>
    </row>
    <row r="6675">
      <c r="B6675" s="2"/>
    </row>
    <row r="6676">
      <c r="B6676" s="2"/>
    </row>
    <row r="6677">
      <c r="B6677" s="2"/>
    </row>
    <row r="6678">
      <c r="B6678" s="2"/>
    </row>
    <row r="6679">
      <c r="B6679" s="2"/>
    </row>
    <row r="6680">
      <c r="B6680" s="2"/>
    </row>
    <row r="6681">
      <c r="B6681" s="2"/>
    </row>
    <row r="6682">
      <c r="B6682" s="2"/>
    </row>
    <row r="6683">
      <c r="B6683" s="2"/>
    </row>
    <row r="6684">
      <c r="B6684" s="2"/>
    </row>
    <row r="6685">
      <c r="B6685" s="2"/>
    </row>
    <row r="6686">
      <c r="B6686" s="2"/>
    </row>
    <row r="6687">
      <c r="B6687" s="2"/>
    </row>
    <row r="6688">
      <c r="B6688" s="2"/>
    </row>
    <row r="6689">
      <c r="B6689" s="2"/>
    </row>
    <row r="6690">
      <c r="B6690" s="2"/>
    </row>
    <row r="6691">
      <c r="B6691" s="2"/>
    </row>
    <row r="6692">
      <c r="B6692" s="2"/>
    </row>
    <row r="6693">
      <c r="B6693" s="2"/>
    </row>
    <row r="6694">
      <c r="B6694" s="2"/>
    </row>
    <row r="6695">
      <c r="B6695" s="2"/>
    </row>
    <row r="6696">
      <c r="B6696" s="2"/>
    </row>
    <row r="6697">
      <c r="B6697" s="2"/>
    </row>
    <row r="6698">
      <c r="B6698" s="2"/>
    </row>
    <row r="6699">
      <c r="B6699" s="2"/>
    </row>
    <row r="6700">
      <c r="B6700" s="2"/>
    </row>
    <row r="6701">
      <c r="B6701" s="2"/>
    </row>
    <row r="6702">
      <c r="B6702" s="2"/>
    </row>
    <row r="6703">
      <c r="B6703" s="2"/>
    </row>
    <row r="6704">
      <c r="B6704" s="2"/>
    </row>
    <row r="6705">
      <c r="B6705" s="2"/>
    </row>
    <row r="6706">
      <c r="B6706" s="2"/>
    </row>
    <row r="6707">
      <c r="B6707" s="2"/>
    </row>
    <row r="6708">
      <c r="B6708" s="2"/>
    </row>
    <row r="6709">
      <c r="B6709" s="2"/>
    </row>
    <row r="6710">
      <c r="B6710" s="2"/>
    </row>
    <row r="6711">
      <c r="B6711" s="2"/>
    </row>
    <row r="6712">
      <c r="B6712" s="2"/>
    </row>
    <row r="6713">
      <c r="B6713" s="2"/>
    </row>
    <row r="6714">
      <c r="B6714" s="2"/>
    </row>
    <row r="6715">
      <c r="B6715" s="2"/>
    </row>
    <row r="6716">
      <c r="B6716" s="2"/>
    </row>
    <row r="6717">
      <c r="B6717" s="2"/>
    </row>
    <row r="6718">
      <c r="B6718" s="2"/>
    </row>
    <row r="6719">
      <c r="B6719" s="2"/>
    </row>
    <row r="6720">
      <c r="B6720" s="2"/>
    </row>
    <row r="6721">
      <c r="B6721" s="2"/>
    </row>
    <row r="6722">
      <c r="B6722" s="2"/>
    </row>
    <row r="6723">
      <c r="B6723" s="2"/>
    </row>
    <row r="6724">
      <c r="B6724" s="2"/>
    </row>
    <row r="6725">
      <c r="B6725" s="2"/>
    </row>
    <row r="6726">
      <c r="B6726" s="2"/>
    </row>
    <row r="6727">
      <c r="B6727" s="2"/>
    </row>
    <row r="6728">
      <c r="B6728" s="2"/>
    </row>
    <row r="6729">
      <c r="B6729" s="2"/>
    </row>
    <row r="6730">
      <c r="B6730" s="2"/>
    </row>
    <row r="6731">
      <c r="B6731" s="2"/>
    </row>
    <row r="6732">
      <c r="B6732" s="2"/>
    </row>
    <row r="6733">
      <c r="B6733" s="2"/>
    </row>
    <row r="6734">
      <c r="B6734" s="2"/>
    </row>
    <row r="6735">
      <c r="B6735" s="2"/>
    </row>
    <row r="6736">
      <c r="B6736" s="2"/>
    </row>
    <row r="6737">
      <c r="B6737" s="2"/>
    </row>
    <row r="6738">
      <c r="B6738" s="2"/>
    </row>
    <row r="6739">
      <c r="B6739" s="2"/>
    </row>
    <row r="6740">
      <c r="B6740" s="2"/>
    </row>
    <row r="6741">
      <c r="B6741" s="2"/>
    </row>
    <row r="6742">
      <c r="B6742" s="2"/>
    </row>
    <row r="6743">
      <c r="B6743" s="2"/>
    </row>
    <row r="6744">
      <c r="B6744" s="2"/>
    </row>
    <row r="6745">
      <c r="B6745" s="2"/>
    </row>
    <row r="6746">
      <c r="B6746" s="2"/>
    </row>
    <row r="6747">
      <c r="B6747" s="2"/>
    </row>
    <row r="6748">
      <c r="B6748" s="2"/>
    </row>
    <row r="6749">
      <c r="B6749" s="2"/>
    </row>
    <row r="6750">
      <c r="B6750" s="2"/>
    </row>
    <row r="6751">
      <c r="B6751" s="2"/>
    </row>
    <row r="6752">
      <c r="B6752" s="2"/>
    </row>
    <row r="6753">
      <c r="B6753" s="2"/>
    </row>
    <row r="6754">
      <c r="B6754" s="2"/>
    </row>
    <row r="6755">
      <c r="B6755" s="2"/>
    </row>
    <row r="6756">
      <c r="B6756" s="2"/>
    </row>
    <row r="6757">
      <c r="B6757" s="2"/>
    </row>
    <row r="6758">
      <c r="B6758" s="2"/>
    </row>
    <row r="6759">
      <c r="B6759" s="2"/>
    </row>
    <row r="6760">
      <c r="B6760" s="2"/>
    </row>
    <row r="6761">
      <c r="B6761" s="2"/>
    </row>
    <row r="6762">
      <c r="B6762" s="2"/>
    </row>
    <row r="6763">
      <c r="B6763" s="2"/>
    </row>
    <row r="6764">
      <c r="B6764" s="2"/>
    </row>
    <row r="6765">
      <c r="B6765" s="2"/>
    </row>
    <row r="6766">
      <c r="B6766" s="2"/>
    </row>
    <row r="6767">
      <c r="B6767" s="2"/>
    </row>
    <row r="6768">
      <c r="B6768" s="2"/>
    </row>
    <row r="6769">
      <c r="B6769" s="2"/>
    </row>
    <row r="6770">
      <c r="B6770" s="2"/>
    </row>
    <row r="6771">
      <c r="B6771" s="2"/>
    </row>
    <row r="6772">
      <c r="B6772" s="2"/>
    </row>
    <row r="6773">
      <c r="B6773" s="2"/>
    </row>
    <row r="6774">
      <c r="B6774" s="2"/>
    </row>
    <row r="6775">
      <c r="B6775" s="2"/>
    </row>
    <row r="6776">
      <c r="B6776" s="2"/>
    </row>
    <row r="6777">
      <c r="B6777" s="2"/>
    </row>
    <row r="6778">
      <c r="B6778" s="2"/>
    </row>
    <row r="6779">
      <c r="B6779" s="2"/>
    </row>
    <row r="6780">
      <c r="B6780" s="2"/>
    </row>
    <row r="6781">
      <c r="B6781" s="2"/>
    </row>
    <row r="6782">
      <c r="B6782" s="2"/>
    </row>
    <row r="6783">
      <c r="B6783" s="2"/>
    </row>
    <row r="6784">
      <c r="B6784" s="2"/>
    </row>
    <row r="6785">
      <c r="B6785" s="2"/>
    </row>
    <row r="6786">
      <c r="B6786" s="2"/>
    </row>
    <row r="6787">
      <c r="B6787" s="2"/>
    </row>
    <row r="6788">
      <c r="B6788" s="2"/>
    </row>
    <row r="6789">
      <c r="B6789" s="2"/>
    </row>
    <row r="6790">
      <c r="B6790" s="2"/>
    </row>
    <row r="6791">
      <c r="B6791" s="2"/>
    </row>
    <row r="6792">
      <c r="B6792" s="2"/>
    </row>
    <row r="6793">
      <c r="B6793" s="2"/>
    </row>
    <row r="6794">
      <c r="B6794" s="2"/>
    </row>
    <row r="6795">
      <c r="B6795" s="2"/>
    </row>
    <row r="6796">
      <c r="B6796" s="2"/>
    </row>
    <row r="6797">
      <c r="B6797" s="2"/>
    </row>
    <row r="6798">
      <c r="B6798" s="2"/>
    </row>
    <row r="6799">
      <c r="B6799" s="2"/>
    </row>
    <row r="6800">
      <c r="B6800" s="2"/>
    </row>
    <row r="6801">
      <c r="B6801" s="2"/>
    </row>
    <row r="6802">
      <c r="B6802" s="2"/>
    </row>
    <row r="6803">
      <c r="B6803" s="2"/>
    </row>
    <row r="6804">
      <c r="B6804" s="2"/>
    </row>
    <row r="6805">
      <c r="B6805" s="2"/>
    </row>
    <row r="6806">
      <c r="B6806" s="2"/>
    </row>
    <row r="6807">
      <c r="B6807" s="2"/>
    </row>
    <row r="6808">
      <c r="B6808" s="2"/>
    </row>
    <row r="6809">
      <c r="B6809" s="2"/>
    </row>
    <row r="6810">
      <c r="B6810" s="2"/>
    </row>
    <row r="6811">
      <c r="B6811" s="2"/>
    </row>
    <row r="6812">
      <c r="B6812" s="2"/>
    </row>
    <row r="6813">
      <c r="B6813" s="2"/>
    </row>
    <row r="6814">
      <c r="B6814" s="2"/>
    </row>
    <row r="6815">
      <c r="B6815" s="2"/>
    </row>
    <row r="6816">
      <c r="B6816" s="2"/>
    </row>
    <row r="6817">
      <c r="B6817" s="2"/>
    </row>
    <row r="6818">
      <c r="B6818" s="2"/>
    </row>
    <row r="6819">
      <c r="B6819" s="2"/>
    </row>
    <row r="6820">
      <c r="B6820" s="2"/>
    </row>
    <row r="6821">
      <c r="B6821" s="2"/>
    </row>
    <row r="6822">
      <c r="B6822" s="2"/>
    </row>
    <row r="6823">
      <c r="B6823" s="2"/>
    </row>
    <row r="6824">
      <c r="B6824" s="2"/>
    </row>
    <row r="6825">
      <c r="B6825" s="2"/>
    </row>
    <row r="6826">
      <c r="B6826" s="2"/>
    </row>
    <row r="6827">
      <c r="B6827" s="2"/>
    </row>
    <row r="6828">
      <c r="B6828" s="2"/>
    </row>
    <row r="6829">
      <c r="B6829" s="2"/>
    </row>
    <row r="6830">
      <c r="B6830" s="2"/>
    </row>
    <row r="6831">
      <c r="B6831" s="2"/>
    </row>
    <row r="6832">
      <c r="B6832" s="2"/>
    </row>
    <row r="6833">
      <c r="B6833" s="2"/>
    </row>
    <row r="6834">
      <c r="B6834" s="2"/>
    </row>
    <row r="6835">
      <c r="B6835" s="2"/>
    </row>
    <row r="6836">
      <c r="B6836" s="2"/>
    </row>
    <row r="6837">
      <c r="B6837" s="2"/>
    </row>
    <row r="6838">
      <c r="B6838" s="2"/>
    </row>
    <row r="6839">
      <c r="B6839" s="2"/>
    </row>
    <row r="6840">
      <c r="B6840" s="2"/>
    </row>
    <row r="6841">
      <c r="B6841" s="2"/>
    </row>
    <row r="6842">
      <c r="B6842" s="2"/>
    </row>
    <row r="6843">
      <c r="B6843" s="2"/>
    </row>
    <row r="6844">
      <c r="B6844" s="2"/>
    </row>
    <row r="6845">
      <c r="B6845" s="2"/>
    </row>
    <row r="6846">
      <c r="B6846" s="2"/>
    </row>
    <row r="6847">
      <c r="B6847" s="2"/>
    </row>
    <row r="6848">
      <c r="B6848" s="2"/>
    </row>
    <row r="6849">
      <c r="B6849" s="2"/>
    </row>
    <row r="6850">
      <c r="B6850" s="2"/>
    </row>
    <row r="6851">
      <c r="B6851" s="2"/>
    </row>
    <row r="6852">
      <c r="B6852" s="2"/>
    </row>
    <row r="6853">
      <c r="B6853" s="2"/>
    </row>
    <row r="6854">
      <c r="B6854" s="2"/>
    </row>
    <row r="6855">
      <c r="B6855" s="2"/>
    </row>
    <row r="6856">
      <c r="B6856" s="2"/>
    </row>
    <row r="6857">
      <c r="B6857" s="2"/>
    </row>
    <row r="6858">
      <c r="B6858" s="2"/>
    </row>
    <row r="6859">
      <c r="B6859" s="2"/>
    </row>
    <row r="6860">
      <c r="B6860" s="2"/>
    </row>
    <row r="6861">
      <c r="B6861" s="2"/>
    </row>
    <row r="6862">
      <c r="B6862" s="2"/>
    </row>
    <row r="6863">
      <c r="B6863" s="2"/>
    </row>
    <row r="6864">
      <c r="B6864" s="2"/>
    </row>
    <row r="6865">
      <c r="B6865" s="2"/>
    </row>
    <row r="6866">
      <c r="B6866" s="2"/>
    </row>
    <row r="6867">
      <c r="B6867" s="2"/>
    </row>
    <row r="6868">
      <c r="B6868" s="2"/>
    </row>
    <row r="6869">
      <c r="B6869" s="2"/>
    </row>
    <row r="6870">
      <c r="B6870" s="2"/>
    </row>
    <row r="6871">
      <c r="B6871" s="2"/>
    </row>
    <row r="6872">
      <c r="B6872" s="2"/>
    </row>
    <row r="6873">
      <c r="B6873" s="2"/>
    </row>
    <row r="6874">
      <c r="B6874" s="2"/>
    </row>
    <row r="6875">
      <c r="B6875" s="2"/>
    </row>
    <row r="6876">
      <c r="B6876" s="2"/>
    </row>
    <row r="6877">
      <c r="B6877" s="2"/>
    </row>
    <row r="6878">
      <c r="B6878" s="2"/>
    </row>
    <row r="6879">
      <c r="B6879" s="2"/>
    </row>
    <row r="6880">
      <c r="B6880" s="2"/>
    </row>
    <row r="6881">
      <c r="B6881" s="2"/>
    </row>
    <row r="6882">
      <c r="B6882" s="2"/>
    </row>
    <row r="6883">
      <c r="B6883" s="2"/>
    </row>
    <row r="6884">
      <c r="B6884" s="2"/>
    </row>
    <row r="6885">
      <c r="B6885" s="2"/>
    </row>
    <row r="6886">
      <c r="B6886" s="2"/>
    </row>
    <row r="6887">
      <c r="B6887" s="2"/>
    </row>
    <row r="6888">
      <c r="B6888" s="2"/>
    </row>
    <row r="6889">
      <c r="B6889" s="2"/>
    </row>
    <row r="6890">
      <c r="B6890" s="2"/>
    </row>
    <row r="6891">
      <c r="B6891" s="2"/>
    </row>
    <row r="6892">
      <c r="B6892" s="2"/>
    </row>
    <row r="6893">
      <c r="B6893" s="2"/>
    </row>
    <row r="6894">
      <c r="B6894" s="2"/>
    </row>
    <row r="6895">
      <c r="B6895" s="2"/>
    </row>
    <row r="6896">
      <c r="B6896" s="2"/>
    </row>
    <row r="6897">
      <c r="B6897" s="2"/>
    </row>
    <row r="6898">
      <c r="B6898" s="2"/>
    </row>
    <row r="6899">
      <c r="B6899" s="2"/>
    </row>
    <row r="6900">
      <c r="B6900" s="2"/>
    </row>
    <row r="6901">
      <c r="B6901" s="2"/>
    </row>
    <row r="6902">
      <c r="B6902" s="2"/>
    </row>
    <row r="6903">
      <c r="B6903" s="2"/>
    </row>
    <row r="6904">
      <c r="B6904" s="2"/>
    </row>
    <row r="6905">
      <c r="B6905" s="2"/>
    </row>
    <row r="6906">
      <c r="B6906" s="2"/>
    </row>
    <row r="6907">
      <c r="B6907" s="2"/>
    </row>
    <row r="6908">
      <c r="B6908" s="2"/>
    </row>
    <row r="6909">
      <c r="B6909" s="2"/>
    </row>
    <row r="6910">
      <c r="B6910" s="2"/>
    </row>
    <row r="6911">
      <c r="B6911" s="2"/>
    </row>
    <row r="6912">
      <c r="B6912" s="2"/>
    </row>
    <row r="6913">
      <c r="B6913" s="2"/>
    </row>
    <row r="6914">
      <c r="B6914" s="2"/>
    </row>
    <row r="6915">
      <c r="B6915" s="2"/>
    </row>
    <row r="6916">
      <c r="B6916" s="2"/>
    </row>
    <row r="6917">
      <c r="B6917" s="2"/>
    </row>
    <row r="6918">
      <c r="B6918" s="2"/>
    </row>
    <row r="6919">
      <c r="B6919" s="2"/>
    </row>
    <row r="6920">
      <c r="B6920" s="2"/>
    </row>
    <row r="6921">
      <c r="B6921" s="2"/>
    </row>
    <row r="6922">
      <c r="B6922" s="2"/>
    </row>
    <row r="6923">
      <c r="B6923" s="2"/>
    </row>
    <row r="6924">
      <c r="B6924" s="2"/>
    </row>
    <row r="6925">
      <c r="B6925" s="2"/>
    </row>
    <row r="6926">
      <c r="B6926" s="2"/>
    </row>
    <row r="6927">
      <c r="B6927" s="2"/>
    </row>
    <row r="6928">
      <c r="B6928" s="2"/>
    </row>
    <row r="6929">
      <c r="B6929" s="2"/>
    </row>
    <row r="6930">
      <c r="B6930" s="2"/>
    </row>
    <row r="6931">
      <c r="B6931" s="2"/>
    </row>
    <row r="6932">
      <c r="B6932" s="2"/>
    </row>
    <row r="6933">
      <c r="B6933" s="2"/>
    </row>
    <row r="6934">
      <c r="B6934" s="2"/>
    </row>
    <row r="6935">
      <c r="B6935" s="2"/>
    </row>
    <row r="6936">
      <c r="B6936" s="2"/>
    </row>
    <row r="6937">
      <c r="B6937" s="2"/>
    </row>
    <row r="6938">
      <c r="B6938" s="2"/>
    </row>
    <row r="6939">
      <c r="B6939" s="2"/>
    </row>
    <row r="6940">
      <c r="B6940" s="2"/>
    </row>
    <row r="6941">
      <c r="B6941" s="2"/>
    </row>
    <row r="6942">
      <c r="B6942" s="2"/>
    </row>
    <row r="6943">
      <c r="B6943" s="2"/>
    </row>
    <row r="6944">
      <c r="B6944" s="2"/>
    </row>
    <row r="6945">
      <c r="B6945" s="2"/>
    </row>
    <row r="6946">
      <c r="B6946" s="2"/>
    </row>
    <row r="6947">
      <c r="B6947" s="2"/>
    </row>
    <row r="6948">
      <c r="B6948" s="2"/>
    </row>
    <row r="6949">
      <c r="B6949" s="2"/>
    </row>
    <row r="6950">
      <c r="B6950" s="2"/>
    </row>
    <row r="6951">
      <c r="B6951" s="2"/>
    </row>
    <row r="6952">
      <c r="B6952" s="2"/>
    </row>
    <row r="6953">
      <c r="B6953" s="2"/>
    </row>
    <row r="6954">
      <c r="B6954" s="2"/>
    </row>
    <row r="6955">
      <c r="B6955" s="2"/>
    </row>
    <row r="6956">
      <c r="B6956" s="2"/>
    </row>
    <row r="6957">
      <c r="B6957" s="2"/>
    </row>
    <row r="6958">
      <c r="B6958" s="2"/>
    </row>
    <row r="6959">
      <c r="B6959" s="2"/>
    </row>
    <row r="6960">
      <c r="B6960" s="2"/>
    </row>
    <row r="6961">
      <c r="B6961" s="2"/>
    </row>
    <row r="6962">
      <c r="B6962" s="2"/>
    </row>
    <row r="6963">
      <c r="B6963" s="2"/>
    </row>
    <row r="6964">
      <c r="B6964" s="2"/>
    </row>
    <row r="6965">
      <c r="B6965" s="2"/>
    </row>
    <row r="6966">
      <c r="B6966" s="2"/>
    </row>
    <row r="6967">
      <c r="B6967" s="2"/>
    </row>
    <row r="6968">
      <c r="B6968" s="2"/>
    </row>
    <row r="6969">
      <c r="B6969" s="2"/>
    </row>
    <row r="6970">
      <c r="B6970" s="2"/>
    </row>
    <row r="6971">
      <c r="B6971" s="2"/>
    </row>
    <row r="6972">
      <c r="B6972" s="2"/>
    </row>
    <row r="6973">
      <c r="B6973" s="2"/>
    </row>
    <row r="6974">
      <c r="B6974" s="2"/>
    </row>
    <row r="6975">
      <c r="B6975" s="2"/>
    </row>
    <row r="6976">
      <c r="B6976" s="2"/>
    </row>
    <row r="6977">
      <c r="B6977" s="2"/>
    </row>
    <row r="6978">
      <c r="B6978" s="2"/>
    </row>
    <row r="6979">
      <c r="B6979" s="2"/>
    </row>
    <row r="6980">
      <c r="B6980" s="2"/>
    </row>
    <row r="6981">
      <c r="B6981" s="2"/>
    </row>
    <row r="6982">
      <c r="B6982" s="2"/>
    </row>
    <row r="6983">
      <c r="B6983" s="2"/>
    </row>
    <row r="6984">
      <c r="B6984" s="2"/>
    </row>
    <row r="6985">
      <c r="B6985" s="2"/>
    </row>
    <row r="6986">
      <c r="B6986" s="2"/>
    </row>
    <row r="6987">
      <c r="B6987" s="2"/>
    </row>
    <row r="6988">
      <c r="B6988" s="2"/>
    </row>
    <row r="6989">
      <c r="B6989" s="2"/>
    </row>
    <row r="6990">
      <c r="B6990" s="2"/>
    </row>
    <row r="6991">
      <c r="B6991" s="2"/>
    </row>
    <row r="6992">
      <c r="B6992" s="2"/>
    </row>
    <row r="6993">
      <c r="B6993" s="2"/>
    </row>
    <row r="6994">
      <c r="B6994" s="2"/>
    </row>
    <row r="6995">
      <c r="B6995" s="2"/>
    </row>
    <row r="6996">
      <c r="B6996" s="2"/>
    </row>
    <row r="6997">
      <c r="B6997" s="2"/>
    </row>
    <row r="6998">
      <c r="B6998" s="2"/>
    </row>
    <row r="6999">
      <c r="B6999" s="2"/>
    </row>
    <row r="7000">
      <c r="B7000" s="2"/>
    </row>
    <row r="7001">
      <c r="B7001" s="2"/>
    </row>
    <row r="7002">
      <c r="B7002" s="2"/>
    </row>
    <row r="7003">
      <c r="B7003" s="2"/>
    </row>
    <row r="7004">
      <c r="B7004" s="2"/>
    </row>
    <row r="7005">
      <c r="B7005" s="2"/>
    </row>
    <row r="7006">
      <c r="B7006" s="2"/>
    </row>
    <row r="7007">
      <c r="B7007" s="2"/>
    </row>
    <row r="7008">
      <c r="B7008" s="2"/>
    </row>
    <row r="7009">
      <c r="B7009" s="2"/>
    </row>
    <row r="7010">
      <c r="B7010" s="2"/>
    </row>
    <row r="7011">
      <c r="B7011" s="2"/>
    </row>
    <row r="7012">
      <c r="B7012" s="2"/>
    </row>
    <row r="7013">
      <c r="B7013" s="2"/>
    </row>
    <row r="7014">
      <c r="B7014" s="2"/>
    </row>
    <row r="7015">
      <c r="B7015" s="2"/>
    </row>
    <row r="7016">
      <c r="B7016" s="2"/>
    </row>
    <row r="7017">
      <c r="B7017" s="2"/>
    </row>
    <row r="7018">
      <c r="B7018" s="2"/>
    </row>
    <row r="7019">
      <c r="B7019" s="2"/>
    </row>
    <row r="7020">
      <c r="B7020" s="2"/>
    </row>
    <row r="7021">
      <c r="B7021" s="2"/>
    </row>
    <row r="7022">
      <c r="B7022" s="2"/>
    </row>
    <row r="7023">
      <c r="B7023" s="2"/>
    </row>
    <row r="7024">
      <c r="B7024" s="2"/>
    </row>
    <row r="7025">
      <c r="B7025" s="2"/>
    </row>
    <row r="7026">
      <c r="B7026" s="2"/>
    </row>
    <row r="7027">
      <c r="B7027" s="2"/>
    </row>
    <row r="7028">
      <c r="B7028" s="2"/>
    </row>
    <row r="7029">
      <c r="B7029" s="2"/>
    </row>
    <row r="7030">
      <c r="B7030" s="2"/>
    </row>
    <row r="7031">
      <c r="B7031" s="2"/>
    </row>
    <row r="7032">
      <c r="B7032" s="2"/>
    </row>
    <row r="7033">
      <c r="B7033" s="2"/>
    </row>
    <row r="7034">
      <c r="B7034" s="2"/>
    </row>
    <row r="7035">
      <c r="B7035" s="2"/>
    </row>
    <row r="7036">
      <c r="B7036" s="2"/>
    </row>
    <row r="7037">
      <c r="B7037" s="2"/>
    </row>
    <row r="7038">
      <c r="B7038" s="2"/>
    </row>
    <row r="7039">
      <c r="B7039" s="2"/>
    </row>
    <row r="7040">
      <c r="B7040" s="2"/>
    </row>
    <row r="7041">
      <c r="B7041" s="2"/>
    </row>
    <row r="7042">
      <c r="B7042" s="2"/>
    </row>
    <row r="7043">
      <c r="B7043" s="2"/>
    </row>
    <row r="7044">
      <c r="B7044" s="2"/>
    </row>
    <row r="7045">
      <c r="B7045" s="2"/>
    </row>
    <row r="7046">
      <c r="B7046" s="2"/>
    </row>
    <row r="7047">
      <c r="B7047" s="2"/>
    </row>
    <row r="7048">
      <c r="B7048" s="2"/>
    </row>
    <row r="7049">
      <c r="B7049" s="2"/>
    </row>
    <row r="7050">
      <c r="B7050" s="2"/>
    </row>
    <row r="7051">
      <c r="B7051" s="2"/>
    </row>
    <row r="7052">
      <c r="B7052" s="2"/>
    </row>
    <row r="7053">
      <c r="B7053" s="2"/>
    </row>
    <row r="7054">
      <c r="B7054" s="2"/>
    </row>
    <row r="7055">
      <c r="B7055" s="2"/>
    </row>
    <row r="7056">
      <c r="B7056" s="2"/>
    </row>
    <row r="7057">
      <c r="B7057" s="2"/>
    </row>
    <row r="7058">
      <c r="B7058" s="2"/>
    </row>
    <row r="7059">
      <c r="B7059" s="2"/>
    </row>
    <row r="7060">
      <c r="B7060" s="2"/>
    </row>
    <row r="7061">
      <c r="B7061" s="2"/>
    </row>
    <row r="7062">
      <c r="B7062" s="2"/>
    </row>
    <row r="7063">
      <c r="B7063" s="2"/>
    </row>
    <row r="7064">
      <c r="B7064" s="2"/>
    </row>
    <row r="7065">
      <c r="B7065" s="2"/>
    </row>
    <row r="7066">
      <c r="B7066" s="2"/>
    </row>
    <row r="7067">
      <c r="B7067" s="2"/>
    </row>
    <row r="7068">
      <c r="B7068" s="2"/>
    </row>
    <row r="7069">
      <c r="B7069" s="2"/>
    </row>
    <row r="7070">
      <c r="B7070" s="2"/>
    </row>
    <row r="7071">
      <c r="B7071" s="2"/>
    </row>
    <row r="7072">
      <c r="B7072" s="2"/>
    </row>
    <row r="7073">
      <c r="B7073" s="2"/>
    </row>
    <row r="7074">
      <c r="B7074" s="2"/>
    </row>
    <row r="7075">
      <c r="B7075" s="2"/>
    </row>
    <row r="7076">
      <c r="B7076" s="2"/>
    </row>
    <row r="7077">
      <c r="B7077" s="2"/>
    </row>
    <row r="7078">
      <c r="B7078" s="2"/>
    </row>
    <row r="7079">
      <c r="B7079" s="2"/>
    </row>
    <row r="7080">
      <c r="B7080" s="2"/>
    </row>
    <row r="7081">
      <c r="B7081" s="2"/>
    </row>
    <row r="7082">
      <c r="B7082" s="2"/>
    </row>
    <row r="7083">
      <c r="B7083" s="2"/>
    </row>
    <row r="7084">
      <c r="B7084" s="2"/>
    </row>
    <row r="7085">
      <c r="B7085" s="2"/>
    </row>
    <row r="7086">
      <c r="B7086" s="2"/>
    </row>
    <row r="7087">
      <c r="B7087" s="2"/>
    </row>
    <row r="7088">
      <c r="B7088" s="2"/>
    </row>
    <row r="7089">
      <c r="B7089" s="2"/>
    </row>
    <row r="7090">
      <c r="B7090" s="2"/>
    </row>
    <row r="7091">
      <c r="B7091" s="2"/>
    </row>
    <row r="7092">
      <c r="B7092" s="2"/>
    </row>
    <row r="7093">
      <c r="B7093" s="2"/>
    </row>
    <row r="7094">
      <c r="B7094" s="2"/>
    </row>
    <row r="7095">
      <c r="B7095" s="2"/>
    </row>
    <row r="7096">
      <c r="B7096" s="2"/>
    </row>
    <row r="7097">
      <c r="B7097" s="2"/>
    </row>
    <row r="7098">
      <c r="B7098" s="2"/>
    </row>
    <row r="7099">
      <c r="B7099" s="2"/>
    </row>
    <row r="7100">
      <c r="B7100" s="2"/>
    </row>
    <row r="7101">
      <c r="B7101" s="2"/>
    </row>
    <row r="7102">
      <c r="B7102" s="2"/>
    </row>
    <row r="7103">
      <c r="B7103" s="2"/>
    </row>
    <row r="7104">
      <c r="B7104" s="2"/>
    </row>
    <row r="7105">
      <c r="B7105" s="2"/>
    </row>
    <row r="7106">
      <c r="B7106" s="2"/>
    </row>
    <row r="7107">
      <c r="B7107" s="2"/>
    </row>
    <row r="7108">
      <c r="B7108" s="2"/>
    </row>
    <row r="7109">
      <c r="B7109" s="2"/>
    </row>
    <row r="7110">
      <c r="B7110" s="2"/>
    </row>
    <row r="7111">
      <c r="B7111" s="2"/>
    </row>
    <row r="7112">
      <c r="B7112" s="2"/>
    </row>
    <row r="7113">
      <c r="B7113" s="2"/>
    </row>
    <row r="7114">
      <c r="B7114" s="2"/>
    </row>
    <row r="7115">
      <c r="B7115" s="2"/>
    </row>
    <row r="7116">
      <c r="B7116" s="2"/>
    </row>
    <row r="7117">
      <c r="B7117" s="2"/>
    </row>
    <row r="7118">
      <c r="B7118" s="2"/>
    </row>
    <row r="7119">
      <c r="B7119" s="2"/>
    </row>
    <row r="7120">
      <c r="B7120" s="2"/>
    </row>
    <row r="7121">
      <c r="B7121" s="2"/>
    </row>
    <row r="7122">
      <c r="B7122" s="2"/>
    </row>
    <row r="7123">
      <c r="B7123" s="2"/>
    </row>
    <row r="7124">
      <c r="B7124" s="2"/>
    </row>
    <row r="7125">
      <c r="B7125" s="2"/>
    </row>
    <row r="7126">
      <c r="B7126" s="2"/>
    </row>
    <row r="7127">
      <c r="B7127" s="2"/>
    </row>
    <row r="7128">
      <c r="B7128" s="2"/>
    </row>
    <row r="7129">
      <c r="B7129" s="2"/>
    </row>
    <row r="7130">
      <c r="B7130" s="2"/>
    </row>
    <row r="7131">
      <c r="B7131" s="2"/>
    </row>
    <row r="7132">
      <c r="B7132" s="2"/>
    </row>
    <row r="7133">
      <c r="B7133" s="2"/>
    </row>
    <row r="7134">
      <c r="B7134" s="2"/>
    </row>
    <row r="7135">
      <c r="B7135" s="2"/>
    </row>
    <row r="7136">
      <c r="B7136" s="2"/>
    </row>
    <row r="7137">
      <c r="B7137" s="2"/>
    </row>
    <row r="7138">
      <c r="B7138" s="2"/>
    </row>
    <row r="7139">
      <c r="B7139" s="2"/>
    </row>
    <row r="7140">
      <c r="B7140" s="2"/>
    </row>
    <row r="7141">
      <c r="B7141" s="2"/>
    </row>
    <row r="7142">
      <c r="B7142" s="2"/>
    </row>
    <row r="7143">
      <c r="B7143" s="2"/>
    </row>
    <row r="7144">
      <c r="B7144" s="2"/>
    </row>
    <row r="7145">
      <c r="B7145" s="2"/>
    </row>
    <row r="7146">
      <c r="B7146" s="2"/>
    </row>
    <row r="7147">
      <c r="B7147" s="2"/>
    </row>
    <row r="7148">
      <c r="B7148" s="2"/>
    </row>
    <row r="7149">
      <c r="B7149" s="2"/>
    </row>
    <row r="7150">
      <c r="B7150" s="2"/>
    </row>
    <row r="7151">
      <c r="B7151" s="2"/>
    </row>
    <row r="7152">
      <c r="B7152" s="2"/>
    </row>
    <row r="7153">
      <c r="B7153" s="2"/>
    </row>
    <row r="7154">
      <c r="B7154" s="2"/>
    </row>
    <row r="7155">
      <c r="B7155" s="2"/>
    </row>
    <row r="7156">
      <c r="B7156" s="2"/>
    </row>
    <row r="7157">
      <c r="B7157" s="2"/>
    </row>
    <row r="7158">
      <c r="B7158" s="2"/>
    </row>
    <row r="7159">
      <c r="B7159" s="2"/>
    </row>
    <row r="7160">
      <c r="B7160" s="2"/>
    </row>
    <row r="7161">
      <c r="B7161" s="2"/>
    </row>
    <row r="7162">
      <c r="B7162" s="2"/>
    </row>
    <row r="7163">
      <c r="B7163" s="2"/>
    </row>
    <row r="7164">
      <c r="B7164" s="2"/>
    </row>
    <row r="7165">
      <c r="B7165" s="2"/>
    </row>
    <row r="7166">
      <c r="B7166" s="2"/>
    </row>
    <row r="7167">
      <c r="B7167" s="2"/>
    </row>
    <row r="7168">
      <c r="B7168" s="2"/>
    </row>
    <row r="7169">
      <c r="B7169" s="2"/>
    </row>
    <row r="7170">
      <c r="B7170" s="2"/>
    </row>
    <row r="7171">
      <c r="B7171" s="2"/>
    </row>
    <row r="7172">
      <c r="B7172" s="2"/>
    </row>
    <row r="7173">
      <c r="B7173" s="2"/>
    </row>
    <row r="7174">
      <c r="B7174" s="2"/>
    </row>
    <row r="7175">
      <c r="B7175" s="2"/>
    </row>
    <row r="7176">
      <c r="B7176" s="2"/>
    </row>
    <row r="7177">
      <c r="B7177" s="2"/>
    </row>
    <row r="7178">
      <c r="B7178" s="2"/>
    </row>
    <row r="7179">
      <c r="B7179" s="2"/>
    </row>
    <row r="7180">
      <c r="B7180" s="2"/>
    </row>
    <row r="7181">
      <c r="B7181" s="2"/>
    </row>
    <row r="7182">
      <c r="B7182" s="2"/>
    </row>
    <row r="7183">
      <c r="B7183" s="2"/>
    </row>
    <row r="7184">
      <c r="B7184" s="2"/>
    </row>
    <row r="7185">
      <c r="B7185" s="2"/>
    </row>
    <row r="7186">
      <c r="B7186" s="2"/>
    </row>
    <row r="7187">
      <c r="B7187" s="2"/>
    </row>
    <row r="7188">
      <c r="B7188" s="2"/>
    </row>
    <row r="7189">
      <c r="B7189" s="2"/>
    </row>
    <row r="7190">
      <c r="B7190" s="2"/>
    </row>
    <row r="7191">
      <c r="B7191" s="2"/>
    </row>
    <row r="7192">
      <c r="B7192" s="2"/>
    </row>
    <row r="7193">
      <c r="B7193" s="2"/>
    </row>
    <row r="7194">
      <c r="B7194" s="2"/>
    </row>
    <row r="7195">
      <c r="B7195" s="2"/>
    </row>
    <row r="7196">
      <c r="B7196" s="2"/>
    </row>
    <row r="7197">
      <c r="B7197" s="2"/>
    </row>
    <row r="7198">
      <c r="B7198" s="2"/>
    </row>
    <row r="7199">
      <c r="B7199" s="2"/>
    </row>
    <row r="7200">
      <c r="B7200" s="2"/>
    </row>
    <row r="7201">
      <c r="B7201" s="2"/>
    </row>
    <row r="7202">
      <c r="B7202" s="2"/>
    </row>
    <row r="7203">
      <c r="B7203" s="2"/>
    </row>
    <row r="7204">
      <c r="B7204" s="2"/>
    </row>
    <row r="7205">
      <c r="B7205" s="2"/>
    </row>
    <row r="7206">
      <c r="B7206" s="2"/>
    </row>
    <row r="7207">
      <c r="B7207" s="2"/>
    </row>
    <row r="7208">
      <c r="B7208" s="2"/>
    </row>
    <row r="7209">
      <c r="B7209" s="2"/>
    </row>
    <row r="7210">
      <c r="B7210" s="2"/>
    </row>
    <row r="7211">
      <c r="B7211" s="2"/>
    </row>
    <row r="7212">
      <c r="B7212" s="2"/>
    </row>
    <row r="7213">
      <c r="B7213" s="2"/>
    </row>
    <row r="7214">
      <c r="B7214" s="2"/>
    </row>
    <row r="7215">
      <c r="B7215" s="2"/>
    </row>
    <row r="7216">
      <c r="B7216" s="2"/>
    </row>
    <row r="7217">
      <c r="B7217" s="2"/>
    </row>
    <row r="7218">
      <c r="B7218" s="2"/>
    </row>
    <row r="7219">
      <c r="B7219" s="2"/>
    </row>
    <row r="7220">
      <c r="B7220" s="2"/>
    </row>
    <row r="7221">
      <c r="B7221" s="2"/>
    </row>
    <row r="7222">
      <c r="B7222" s="2"/>
    </row>
    <row r="7223">
      <c r="B7223" s="2"/>
    </row>
    <row r="7224">
      <c r="B7224" s="2"/>
    </row>
    <row r="7225">
      <c r="B7225" s="2"/>
    </row>
    <row r="7226">
      <c r="B7226" s="2"/>
    </row>
    <row r="7227">
      <c r="B7227" s="2"/>
    </row>
    <row r="7228">
      <c r="B7228" s="2"/>
    </row>
    <row r="7229">
      <c r="B7229" s="2"/>
    </row>
    <row r="7230">
      <c r="B7230" s="2"/>
    </row>
    <row r="7231">
      <c r="B7231" s="2"/>
    </row>
    <row r="7232">
      <c r="B7232" s="2"/>
    </row>
    <row r="7233">
      <c r="B7233" s="2"/>
    </row>
    <row r="7234">
      <c r="B7234" s="2"/>
    </row>
    <row r="7235">
      <c r="B7235" s="2"/>
    </row>
    <row r="7236">
      <c r="B7236" s="2"/>
    </row>
    <row r="7237">
      <c r="B7237" s="2"/>
    </row>
    <row r="7238">
      <c r="B7238" s="2"/>
    </row>
    <row r="7239">
      <c r="B7239" s="2"/>
    </row>
    <row r="7240">
      <c r="B7240" s="2"/>
    </row>
    <row r="7241">
      <c r="B7241" s="2"/>
    </row>
    <row r="7242">
      <c r="B7242" s="2"/>
    </row>
    <row r="7243">
      <c r="B7243" s="2"/>
    </row>
    <row r="7244">
      <c r="B7244" s="2"/>
    </row>
    <row r="7245">
      <c r="B7245" s="2"/>
    </row>
    <row r="7246">
      <c r="B7246" s="2"/>
    </row>
    <row r="7247">
      <c r="B7247" s="2"/>
    </row>
    <row r="7248">
      <c r="B7248" s="2"/>
    </row>
    <row r="7249">
      <c r="B7249" s="2"/>
    </row>
    <row r="7250">
      <c r="B7250" s="2"/>
    </row>
    <row r="7251">
      <c r="B7251" s="2"/>
    </row>
    <row r="7252">
      <c r="B7252" s="2"/>
    </row>
    <row r="7253">
      <c r="B7253" s="2"/>
    </row>
    <row r="7254">
      <c r="B7254" s="2"/>
    </row>
    <row r="7255">
      <c r="B7255" s="2"/>
    </row>
    <row r="7256">
      <c r="B7256" s="2"/>
    </row>
    <row r="7257">
      <c r="B7257" s="2"/>
    </row>
    <row r="7258">
      <c r="B7258" s="2"/>
    </row>
    <row r="7259">
      <c r="B7259" s="2"/>
    </row>
    <row r="7260">
      <c r="B7260" s="2"/>
    </row>
    <row r="7261">
      <c r="B7261" s="2"/>
    </row>
    <row r="7262">
      <c r="B7262" s="2"/>
    </row>
    <row r="7263">
      <c r="B7263" s="2"/>
    </row>
    <row r="7264">
      <c r="B7264" s="2"/>
    </row>
    <row r="7265">
      <c r="B7265" s="2"/>
    </row>
    <row r="7266">
      <c r="B7266" s="2"/>
    </row>
    <row r="7267">
      <c r="B7267" s="2"/>
    </row>
    <row r="7268">
      <c r="B7268" s="2"/>
    </row>
    <row r="7269">
      <c r="B7269" s="2"/>
    </row>
    <row r="7270">
      <c r="B7270" s="2"/>
    </row>
    <row r="7271">
      <c r="B7271" s="2"/>
    </row>
    <row r="7272">
      <c r="B7272" s="2"/>
    </row>
    <row r="7273">
      <c r="B7273" s="2"/>
    </row>
    <row r="7274">
      <c r="B7274" s="2"/>
    </row>
    <row r="7275">
      <c r="B7275" s="2"/>
    </row>
    <row r="7276">
      <c r="B7276" s="2"/>
    </row>
    <row r="7277">
      <c r="B7277" s="2"/>
    </row>
    <row r="7278">
      <c r="B7278" s="2"/>
    </row>
    <row r="7279">
      <c r="B7279" s="2"/>
    </row>
    <row r="7280">
      <c r="B7280" s="2"/>
    </row>
    <row r="7281">
      <c r="B7281" s="2"/>
    </row>
    <row r="7282">
      <c r="B7282" s="2"/>
    </row>
    <row r="7283">
      <c r="B7283" s="2"/>
    </row>
    <row r="7284">
      <c r="B7284" s="2"/>
    </row>
    <row r="7285">
      <c r="B7285" s="2"/>
    </row>
    <row r="7286">
      <c r="B7286" s="2"/>
    </row>
    <row r="7287">
      <c r="B7287" s="2"/>
    </row>
    <row r="7288">
      <c r="B7288" s="2"/>
    </row>
    <row r="7289">
      <c r="B7289" s="2"/>
    </row>
    <row r="7290">
      <c r="B7290" s="2"/>
    </row>
    <row r="7291">
      <c r="B7291" s="2"/>
    </row>
    <row r="7292">
      <c r="B7292" s="2"/>
    </row>
    <row r="7293">
      <c r="B7293" s="2"/>
    </row>
    <row r="7294">
      <c r="B7294" s="2"/>
    </row>
    <row r="7295">
      <c r="B7295" s="2"/>
    </row>
    <row r="7296">
      <c r="B7296" s="2"/>
    </row>
    <row r="7297">
      <c r="B7297" s="2"/>
    </row>
    <row r="7298">
      <c r="B7298" s="2"/>
    </row>
    <row r="7299">
      <c r="B7299" s="2"/>
    </row>
    <row r="7300">
      <c r="B7300" s="2"/>
    </row>
    <row r="7301">
      <c r="B7301" s="2"/>
    </row>
  </sheetData>
  <drawing r:id="rId1"/>
</worksheet>
</file>